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假设" sheetId="2" state="visible" r:id="rId2"/>
    <sheet name="ROI" sheetId="3" state="visible" r:id="rId3"/>
    <sheet name="需求情景" sheetId="4" state="visible" r:id="rId4"/>
    <sheet name="收入桥" sheetId="5" state="visible" r:id="rId5"/>
    <sheet name="利润与估值" sheetId="6" state="visible" r:id="rId6"/>
    <sheet name="敏感性" sheetId="7" state="visible" r:id="rId7"/>
    <sheet name="数据底稿" sheetId="8" state="visible" r:id="rId8"/>
  </sheets>
  <definedNames>
    <definedName name="_xlnm._FilterDatabase" localSheetId="7" hidden="1">'数据底稿'!$A$1:$M$257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-&quot;"/>
    <numFmt numFmtId="165" formatCode="0.0%;(0.0%);&quot;-&quot;"/>
    <numFmt numFmtId="166" formatCode="#,##0;(#,##0);&quot;-&quot;"/>
    <numFmt numFmtId="167" formatCode="0.0&quot;x&quot;"/>
    <numFmt numFmtId="168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  <b val="1"/>
      <color rgb="00FFFFFF"/>
    </font>
    <font>
      <name val="Arial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4" borderId="0" pivotButton="0" quotePrefix="0" xfId="0"/>
    <xf numFmtId="0" fontId="7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7" fillId="0" borderId="1" applyAlignment="1" pivotButton="0" quotePrefix="0" xfId="0">
      <alignment vertical="top" wrapText="1"/>
    </xf>
    <xf numFmtId="3" fontId="4" fillId="0" borderId="1" pivotButton="0" quotePrefix="0" xfId="0"/>
    <xf numFmtId="3" fontId="5" fillId="0" borderId="1" pivotButton="0" quotePrefix="0" xfId="0"/>
    <xf numFmtId="165" fontId="4" fillId="2" borderId="1" pivotButton="0" quotePrefix="0" xfId="0"/>
    <xf numFmtId="165" fontId="5" fillId="0" borderId="1" pivotButton="0" quotePrefix="0" xfId="0"/>
    <xf numFmtId="165" fontId="4" fillId="0" borderId="1" pivotButton="0" quotePrefix="0" xfId="0"/>
    <xf numFmtId="3" fontId="4" fillId="2" borderId="1" pivotButton="0" quotePrefix="0" xfId="0"/>
    <xf numFmtId="2" fontId="4" fillId="2" borderId="1" pivotButton="0" quotePrefix="0" xfId="0"/>
    <xf numFmtId="2" fontId="5" fillId="0" borderId="1" pivotButton="0" quotePrefix="0" xfId="0"/>
    <xf numFmtId="164" fontId="4" fillId="2" borderId="1" pivotButton="0" quotePrefix="0" xfId="0"/>
    <xf numFmtId="2" fontId="4" fillId="0" borderId="1" pivotButton="0" quotePrefix="0" xfId="0"/>
    <xf numFmtId="166" fontId="4" fillId="0" borderId="1" pivotButton="0" quotePrefix="0" xfId="0"/>
    <xf numFmtId="166" fontId="5" fillId="0" borderId="1" pivotButton="0" quotePrefix="0" xfId="0"/>
    <xf numFmtId="167" fontId="4" fillId="2" borderId="1" pivotButton="0" quotePrefix="0" xfId="0"/>
    <xf numFmtId="167" fontId="5" fillId="0" borderId="1" pivotButton="0" quotePrefix="0" xfId="0"/>
    <xf numFmtId="164" fontId="8" fillId="0" borderId="1" pivotButton="0" quotePrefix="0" xfId="0"/>
    <xf numFmtId="3" fontId="8" fillId="0" borderId="1" pivotButton="0" quotePrefix="0" xfId="0"/>
    <xf numFmtId="165" fontId="8" fillId="0" borderId="1" pivotButton="0" quotePrefix="0" xfId="0"/>
    <xf numFmtId="2" fontId="8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0" fontId="7" fillId="0" borderId="0" pivotButton="0" quotePrefix="0" xfId="0"/>
    <xf numFmtId="166" fontId="8" fillId="0" borderId="1" pivotButton="0" quotePrefix="0" xfId="0"/>
    <xf numFmtId="2" fontId="5" fillId="0" borderId="0" pivotButton="0" quotePrefix="0" xfId="0"/>
    <xf numFmtId="166" fontId="5" fillId="0" borderId="0" pivotButton="0" quotePrefix="0" xfId="0"/>
    <xf numFmtId="2" fontId="4" fillId="0" borderId="0" pivotButton="0" quotePrefix="0" xfId="0"/>
    <xf numFmtId="0" fontId="0" fillId="0" borderId="1" pivotButton="0" quotePrefix="0" xfId="0"/>
    <xf numFmtId="164" fontId="8" fillId="0" borderId="0" pivotButton="0" quotePrefix="0" xfId="0"/>
    <xf numFmtId="167" fontId="8" fillId="0" borderId="1" pivotButton="0" quotePrefix="0" xfId="0"/>
    <xf numFmtId="165" fontId="3" fillId="0" borderId="1" pivotButton="0" quotePrefix="0" xfId="0"/>
    <xf numFmtId="166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8" fontId="4" fillId="2" borderId="1" pivotButton="0" quotePrefix="0" xfId="0"/>
    <xf numFmtId="168" fontId="5" fillId="0" borderId="1" pivotButton="0" quotePrefix="0" xfId="0"/>
    <xf numFmtId="168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人形机器人六维力传感器：需求测算与上市公司业务测算模型</t>
        </is>
      </c>
    </row>
    <row r="2">
      <c r="A2" s="2" t="inlineStr">
        <is>
          <t>版本 v0.3｜数据截止 2026-10-20｜配套：具身智能供应链简报.md</t>
        </is>
      </c>
    </row>
    <row r="3">
      <c r="A3" s="3" t="inlineStr"/>
    </row>
    <row r="4">
      <c r="A4" s="4" t="inlineStr">
        <is>
          <t>一、模型逻辑</t>
        </is>
      </c>
    </row>
    <row r="5">
      <c r="A5" s="2" t="inlineStr">
        <is>
          <t>客户 ROI（客户在什么条件下购买）→ 需求情景（整机出货 × 采用率 × 单机用量 × 单价）→ 收入桥（市场规模 × 公司份额 → 毛利、费用、净利润）→ 利润与估值（当前市值隐含的预期）→ 敏感性</t>
        </is>
      </c>
    </row>
    <row r="6">
      <c r="A6" s="3" t="inlineStr"/>
    </row>
    <row r="7">
      <c r="A7" s="4" t="inlineStr">
        <is>
          <t>二、工作表</t>
        </is>
      </c>
    </row>
    <row r="8">
      <c r="A8" s="2" t="inlineStr">
        <is>
          <t>假设：全模型唯一的参数来源；C4 为情景开关（1 悲观 / 2 基准 / 3 乐观）</t>
        </is>
      </c>
    </row>
    <row r="9">
      <c r="A9" s="2" t="inlineStr">
        <is>
          <t>ROI：国内汽车工厂料箱搬运 / 上下料，三档同时展示</t>
        </is>
      </c>
    </row>
    <row r="10">
      <c r="A10" s="2" t="inlineStr">
        <is>
          <t>需求情景：2025A–2030E 中国人形六维力需求和市场规模；含 2025 校准与第三方预测对照</t>
        </is>
      </c>
    </row>
    <row r="11">
      <c r="A11" s="2" t="inlineStr">
        <is>
          <t>收入桥：柯力传感、安培龙、东华测试三家的相关业务收入和利润</t>
        </is>
      </c>
    </row>
    <row r="12">
      <c r="A12" s="2" t="inlineStr">
        <is>
          <t>利润与估值：市值 − 原有业务价值 − 投资资产 → 隐含新业务价值 → 折算到 2029 年末 → 所需 2030E 利润和份额</t>
        </is>
      </c>
    </row>
    <row r="13">
      <c r="A13" s="2" t="inlineStr">
        <is>
          <t>敏感性：市场规模（有效颗/台 × 单价）；柯力净利润（份额 × 毛利率）</t>
        </is>
      </c>
    </row>
    <row r="14">
      <c r="A14" s="2" t="inlineStr">
        <is>
          <t>数据底稿：256 条证据（C 公司 / D 需求与价格 / R ROI / F 统一口径行情与财务复核 / B 整机 BOM 参照），含原文要点、来源、日期、性质、局限；“本文采用值”列标明被哪个假设引用</t>
        </is>
      </c>
    </row>
    <row r="15">
      <c r="A15" s="3" t="inlineStr"/>
    </row>
    <row r="16">
      <c r="A16" s="4" t="inlineStr">
        <is>
          <t>三、颜色约定</t>
        </is>
      </c>
    </row>
    <row r="17">
      <c r="A17" s="2" t="inlineStr">
        <is>
          <t>蓝色字 = 手工输入；黑色字 = 公式；绿色字 = 引用其他工作表；黄色底 = 作者假设或关键杠杆，需重点复核</t>
        </is>
      </c>
    </row>
    <row r="18">
      <c r="A18" s="3" t="inlineStr"/>
    </row>
    <row r="19">
      <c r="A19" s="4" t="inlineStr">
        <is>
          <t>四、怎么用</t>
        </is>
      </c>
    </row>
    <row r="20">
      <c r="A20" s="2" t="inlineStr">
        <is>
          <t>1. 只修改「假设」页的蓝色数字；修改 C4 切换情景。其他页面不要手工改数。</t>
        </is>
      </c>
    </row>
    <row r="21">
      <c r="A21" s="2" t="inlineStr">
        <is>
          <t>2. 新增证据时先加到「数据底稿」，再在「假设」页 H 列填写对应 ID。</t>
        </is>
      </c>
    </row>
    <row r="22">
      <c r="A22" s="2" t="inlineStr">
        <is>
          <t>3. 示例：把 C4 改为 3，看乐观情景下柯力 2030 年净利润与“所需利润”的差距。</t>
        </is>
      </c>
    </row>
    <row r="23">
      <c r="A23" s="3" t="inlineStr"/>
    </row>
    <row r="24">
      <c r="A24" s="4" t="inlineStr">
        <is>
          <t>五、主要局限</t>
        </is>
      </c>
    </row>
    <row r="25">
      <c r="A25" s="2" t="inlineStr">
        <is>
          <t>1. 三家公司均未单独披露六维力收入、单价、产能，份额为作者假设区间（依据见「假设」页 I 列）。</t>
        </is>
      </c>
    </row>
    <row r="26">
      <c r="A26" s="2" t="inlineStr">
        <is>
          <t>2. 柯力的出货数含关节力矩传感器和协作机器人，不能直接当作人形六维力出货。</t>
        </is>
      </c>
    </row>
    <row r="27">
      <c r="A27" s="2" t="inlineStr">
        <is>
          <t>3. 市值按 2026-10-19 收盘价 × 总股本统一计算（F-01、F-03、F-05），股价或股本变动后需更新。</t>
        </is>
      </c>
    </row>
    <row r="28">
      <c r="A28" s="2" t="inlineStr">
        <is>
          <t>4. ROI 中的维保费率、监管工程师配比没有国内公开数据，是对结果影响最大的作者假设。</t>
        </is>
      </c>
    </row>
    <row r="29">
      <c r="A29" s="2" t="inlineStr">
        <is>
          <t>5. 本模型为个人研究作品，不构成投资建议。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70" customWidth="1" min="9" max="9"/>
  </cols>
  <sheetData>
    <row r="1">
      <c r="A1" s="5" t="inlineStr">
        <is>
          <t>假设：全模型唯一的参数来源</t>
        </is>
      </c>
    </row>
    <row r="2">
      <c r="A2" s="6" t="inlineStr">
        <is>
          <t>修改蓝色数字即可；黄色底色 = 作者假设或关键杠杆，需重点复核。G 列按情景开关自动取值，其他页面只引用本页。</t>
        </is>
      </c>
    </row>
    <row r="4">
      <c r="B4" s="7" t="inlineStr">
        <is>
          <t>情景开关（1=悲观，2=基准，3=乐观）</t>
        </is>
      </c>
      <c r="C4" s="8" t="n">
        <v>2</v>
      </c>
      <c r="D4" s="9">
        <f>CHOOSE($C$4,"悲观","基准","乐观")</f>
        <v/>
      </c>
    </row>
    <row r="6">
      <c r="A6" s="10" t="inlineStr">
        <is>
          <t>编号</t>
        </is>
      </c>
      <c r="B6" s="10" t="inlineStr">
        <is>
          <t>参数</t>
        </is>
      </c>
      <c r="C6" s="10" t="inlineStr">
        <is>
          <t>单位</t>
        </is>
      </c>
      <c r="D6" s="10" t="inlineStr">
        <is>
          <t>悲观</t>
        </is>
      </c>
      <c r="E6" s="10" t="inlineStr">
        <is>
          <t>基准</t>
        </is>
      </c>
      <c r="F6" s="10" t="inlineStr">
        <is>
          <t>乐观</t>
        </is>
      </c>
      <c r="G6" s="10" t="inlineStr">
        <is>
          <t>选用值</t>
        </is>
      </c>
      <c r="H6" s="10" t="inlineStr">
        <is>
          <t>底稿 ID</t>
        </is>
      </c>
      <c r="I6" s="10" t="inlineStr">
        <is>
          <t>依据 / 说明</t>
        </is>
      </c>
    </row>
    <row r="7">
      <c r="A7" s="11" t="inlineStr">
        <is>
          <t>A. 客户 ROI：国内汽车工厂线边料箱搬运 / 上下料（单台）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3" t="inlineStr">
        <is>
          <t>roi_inv</t>
        </is>
      </c>
      <c r="B8" s="13" t="inlineStr">
        <is>
          <t>初始投入（整机 + 部署集成）</t>
        </is>
      </c>
      <c r="C8" s="13" t="inlineStr">
        <is>
          <t>万元</t>
        </is>
      </c>
      <c r="D8" s="14" t="n">
        <v>70</v>
      </c>
      <c r="E8" s="14" t="n">
        <v>50</v>
      </c>
      <c r="F8" s="14" t="n">
        <v>22</v>
      </c>
      <c r="G8" s="15">
        <f>CHOOSE($C$4,D8,E8,F8)</f>
        <v/>
      </c>
      <c r="H8" s="13" t="inlineStr">
        <is>
          <t>R-01,R-03,R-05,R-07,R-10</t>
        </is>
      </c>
      <c r="I8" s="16" t="inlineStr">
        <is>
          <t>悲观：东风柳汽入厂成本六七十万（R-05）；基准：优必选含软件交付方案≤50 万、钛媒体进厂 TCO 50–60 万（R-03、R-07）；乐观：宇树 H2 19.9 万 + 约 2 万部署（部署额为作者假设，该机型的工业能力未经验证）</t>
        </is>
      </c>
    </row>
    <row r="9">
      <c r="A9" s="13" t="inlineStr">
        <is>
          <t>roi_hrs</t>
        </is>
      </c>
      <c r="B9" s="13" t="inlineStr">
        <is>
          <t>计划工时</t>
        </is>
      </c>
      <c r="C9" s="13" t="inlineStr">
        <is>
          <t>小时/年</t>
        </is>
      </c>
      <c r="D9" s="17" t="n">
        <v>2000</v>
      </c>
      <c r="E9" s="17" t="n">
        <v>4000</v>
      </c>
      <c r="F9" s="17" t="n">
        <v>5600</v>
      </c>
      <c r="G9" s="18">
        <f>CHOOSE($C$4,D9,E9,F9)</f>
        <v/>
      </c>
      <c r="H9" s="13" t="inlineStr">
        <is>
          <t>R-33,R-59,R-63,R-64</t>
        </is>
      </c>
      <c r="I9" s="16" t="inlineStr">
        <is>
          <t>单班 8h×250 天 / 两班 16h×250 天 / 三班 22.5h×250 天（三班依赖换电，R-41）</t>
        </is>
      </c>
    </row>
    <row r="10">
      <c r="A10" s="13" t="inlineStr">
        <is>
          <t>roi_av</t>
        </is>
      </c>
      <c r="B10" s="13" t="inlineStr">
        <is>
          <t>可用率（充换电、故障、调校停机）</t>
        </is>
      </c>
      <c r="C10" s="13" t="inlineStr">
        <is>
          <t>比例</t>
        </is>
      </c>
      <c r="D10" s="19" t="n">
        <v>0.75</v>
      </c>
      <c r="E10" s="19" t="n">
        <v>0.85</v>
      </c>
      <c r="F10" s="19" t="n">
        <v>0.95</v>
      </c>
      <c r="G10" s="20">
        <f>CHOOSE($C$4,D10,E10,F10)</f>
        <v/>
      </c>
      <c r="H10" s="13" t="inlineStr">
        <is>
          <t>R-41,R-42</t>
        </is>
      </c>
      <c r="I10" s="16" t="inlineStr">
        <is>
          <t>悲观：Walker S1 工作 3 小时多、充电 1 小时（R-42）；基准：作者假设；乐观：Walker S2 3 分钟换电（R-41），余量 5% 为作者假设</t>
        </is>
      </c>
    </row>
    <row r="11">
      <c r="A11" s="13" t="inlineStr">
        <is>
          <t>roi_sp</t>
        </is>
      </c>
      <c r="B11" s="13" t="inlineStr">
        <is>
          <t>相对人工作业速度</t>
        </is>
      </c>
      <c r="C11" s="13" t="inlineStr">
        <is>
          <t>比例</t>
        </is>
      </c>
      <c r="D11" s="21" t="n">
        <v>0.3</v>
      </c>
      <c r="E11" s="21" t="n">
        <v>0.45</v>
      </c>
      <c r="F11" s="21" t="n">
        <v>0.7</v>
      </c>
      <c r="G11" s="20">
        <f>CHOOSE($C$4,D11,E11,F11)</f>
        <v/>
      </c>
      <c r="H11" s="13" t="inlineStr">
        <is>
          <t>R-19,R-21,R-25,R-26,R-39,R-66</t>
        </is>
      </c>
      <c r="I11" s="16" t="inlineStr">
        <is>
          <t>悲观：优必选 30%、小米长任务 30%；基准：优必选 45%、东风柳汽“顶半个工人”；乐观：小米短任务 70%–80%、智元 70% 以上。均为公司自报，无第三方测量</t>
        </is>
      </c>
    </row>
    <row r="12">
      <c r="A12" s="13" t="inlineStr">
        <is>
          <t>roi_sr</t>
        </is>
      </c>
      <c r="B12" s="13" t="inlineStr">
        <is>
          <t>任务成功率</t>
        </is>
      </c>
      <c r="C12" s="13" t="inlineStr">
        <is>
          <t>比例</t>
        </is>
      </c>
      <c r="D12" s="21" t="n">
        <v>0.9</v>
      </c>
      <c r="E12" s="21" t="n">
        <v>0.98</v>
      </c>
      <c r="F12" s="21" t="n">
        <v>0.995</v>
      </c>
      <c r="G12" s="20">
        <f>CHOOSE($C$4,D12,E12,F12)</f>
        <v/>
      </c>
      <c r="H12" s="13" t="inlineStr">
        <is>
          <t>R-19,R-27,R-29,R-31,R-37</t>
        </is>
      </c>
      <c r="I12" s="16" t="inlineStr">
        <is>
          <t>悲观：小米初期 90.2%；基准：乐聚在兆丰 98%、小米 98%；乐观：智元 99.5%。失败件按比例扣减产出（作者处理方式）</t>
        </is>
      </c>
    </row>
    <row r="13">
      <c r="A13" s="13" t="inlineStr">
        <is>
          <t>roi_ph</t>
        </is>
      </c>
      <c r="B13" s="13" t="inlineStr">
        <is>
          <t>单人年工时</t>
        </is>
      </c>
      <c r="C13" s="13" t="inlineStr">
        <is>
          <t>小时/年</t>
        </is>
      </c>
      <c r="D13" s="22" t="n">
        <v>2000</v>
      </c>
      <c r="E13" s="22" t="n">
        <v>2000</v>
      </c>
      <c r="F13" s="22" t="n">
        <v>2000</v>
      </c>
      <c r="G13" s="18">
        <f>CHOOSE($C$4,D13,E13,F13)</f>
        <v/>
      </c>
      <c r="H13" s="13" t="inlineStr">
        <is>
          <t>R-64</t>
        </is>
      </c>
      <c r="I13" s="16" t="inlineStr">
        <is>
          <t>作者假设：250 天×8 小时。人均实际工时更高则节省额被高估</t>
        </is>
      </c>
    </row>
    <row r="14">
      <c r="A14" s="13" t="inlineStr">
        <is>
          <t>roi_lc</t>
        </is>
      </c>
      <c r="B14" s="13" t="inlineStr">
        <is>
          <t>单人年综合用工成本</t>
        </is>
      </c>
      <c r="C14" s="13" t="inlineStr">
        <is>
          <t>万元/人·年</t>
        </is>
      </c>
      <c r="D14" s="14" t="n">
        <v>9.5</v>
      </c>
      <c r="E14" s="14" t="n">
        <v>10.5</v>
      </c>
      <c r="F14" s="14" t="n">
        <v>14</v>
      </c>
      <c r="G14" s="15">
        <f>CHOOSE($C$4,D14,E14,F14)</f>
        <v/>
      </c>
      <c r="H14" s="13" t="inlineStr">
        <is>
          <t>R-55,R-57,R-58,R-59,R-61</t>
        </is>
      </c>
      <c r="I14" s="16" t="inlineStr">
        <is>
          <t>悲观：汽车行业薪酬中位数 7.31 万×1.3；基准：规上生产制造人员 8.07 万×1.3；乐观：亨通工厂普工综合成本 14 万。社保倍数 1.3 为作者假设</t>
        </is>
      </c>
    </row>
    <row r="15">
      <c r="A15" s="13" t="inlineStr">
        <is>
          <t>roi_mt</t>
        </is>
      </c>
      <c r="B15" s="13" t="inlineStr">
        <is>
          <t>软件与维保年费（占初始投入）</t>
        </is>
      </c>
      <c r="C15" s="13" t="inlineStr">
        <is>
          <t>比例/年</t>
        </is>
      </c>
      <c r="D15" s="19" t="n">
        <v>0.15</v>
      </c>
      <c r="E15" s="19" t="n">
        <v>0.1</v>
      </c>
      <c r="F15" s="19" t="n">
        <v>0.05</v>
      </c>
      <c r="G15" s="20">
        <f>CHOOSE($C$4,D15,E15,F15)</f>
        <v/>
      </c>
      <c r="H15" s="13" t="inlineStr">
        <is>
          <t>R-47,R-50,R-52</t>
        </is>
      </c>
      <c r="I15" s="16" t="inlineStr">
        <is>
          <t>全部为作者假设：国内费率未找到（R-52）。唯一外部锚点 Agility 厂商成本约 7.5%、客户收费约 18%（R-50）</t>
        </is>
      </c>
    </row>
    <row r="16">
      <c r="A16" s="13" t="inlineStr">
        <is>
          <t>roi_sup</t>
        </is>
      </c>
      <c r="B16" s="13" t="inlineStr">
        <is>
          <t>监管工程师配比</t>
        </is>
      </c>
      <c r="C16" s="13" t="inlineStr">
        <is>
          <t>人/台</t>
        </is>
      </c>
      <c r="D16" s="23" t="n">
        <v>0.5</v>
      </c>
      <c r="E16" s="23" t="n">
        <v>0.25</v>
      </c>
      <c r="F16" s="23" t="n">
        <v>0.1</v>
      </c>
      <c r="G16" s="24">
        <f>CHOOSE($C$4,D16,E16,F16)</f>
        <v/>
      </c>
      <c r="H16" s="13" t="inlineStr">
        <is>
          <t>R-34,R-45</t>
        </is>
      </c>
      <c r="I16" s="16" t="inlineStr">
        <is>
          <t>基准：乐聚在兆丰 1 名工程师照看 4 台；悲观：两班各 1:4（作者推断）；乐观：成熟期 1:10（作者假设）</t>
        </is>
      </c>
    </row>
    <row r="17">
      <c r="A17" s="13" t="inlineStr">
        <is>
          <t>roi_ec</t>
        </is>
      </c>
      <c r="B17" s="13" t="inlineStr">
        <is>
          <t>工程师年综合成本</t>
        </is>
      </c>
      <c r="C17" s="13" t="inlineStr">
        <is>
          <t>万元/人·年</t>
        </is>
      </c>
      <c r="D17" s="25" t="n">
        <v>14.8</v>
      </c>
      <c r="E17" s="25" t="n">
        <v>14.8</v>
      </c>
      <c r="F17" s="25" t="n">
        <v>14.8</v>
      </c>
      <c r="G17" s="15">
        <f>CHOOSE($C$4,D17,E17,F17)</f>
        <v/>
      </c>
      <c r="H17" s="13" t="inlineStr">
        <is>
          <t>R-55</t>
        </is>
      </c>
      <c r="I17" s="16" t="inlineStr">
        <is>
          <t>制造业非私营 11.36 万×1.3（倍数为作者假设）</t>
        </is>
      </c>
    </row>
    <row r="18">
      <c r="A18" s="13" t="inlineStr">
        <is>
          <t>roi_en</t>
        </is>
      </c>
      <c r="B18" s="13" t="inlineStr">
        <is>
          <t>能耗</t>
        </is>
      </c>
      <c r="C18" s="13" t="inlineStr">
        <is>
          <t>元/小时</t>
        </is>
      </c>
      <c r="D18" s="26" t="n">
        <v>1</v>
      </c>
      <c r="E18" s="26" t="n">
        <v>0.8</v>
      </c>
      <c r="F18" s="26" t="n">
        <v>0.6</v>
      </c>
      <c r="G18" s="24">
        <f>CHOOSE($C$4,D18,E18,F18)</f>
        <v/>
      </c>
      <c r="H18" s="13" t="inlineStr">
        <is>
          <t>R-51</t>
        </is>
      </c>
      <c r="I18" s="16" t="inlineStr">
        <is>
          <t>约 1kWh/小时 × 工业电价 0.6–1 元/kWh（作者推算），影响很小</t>
        </is>
      </c>
    </row>
    <row r="19">
      <c r="A19" s="13" t="inlineStr">
        <is>
          <t>roi_tgt</t>
        </is>
      </c>
      <c r="B19" s="13" t="inlineStr">
        <is>
          <t>目标回本期（用于反推所需速度）</t>
        </is>
      </c>
      <c r="C19" s="13" t="inlineStr">
        <is>
          <t>年</t>
        </is>
      </c>
      <c r="D19" s="23" t="n">
        <v>5</v>
      </c>
      <c r="E19" s="23" t="n">
        <v>5</v>
      </c>
      <c r="F19" s="23" t="n">
        <v>5</v>
      </c>
      <c r="G19" s="24">
        <f>CHOOSE($C$4,D19,E19,F19)</f>
        <v/>
      </c>
      <c r="H19" s="13" t="inlineStr">
        <is>
          <t>—</t>
        </is>
      </c>
      <c r="I19" s="16" t="inlineStr">
        <is>
          <t>作者设定的参照值，可修改</t>
        </is>
      </c>
    </row>
    <row r="20">
      <c r="A20" s="11" t="inlineStr">
        <is>
          <t>B. 需求：中国人形机器人六维力传感器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3" t="inlineStr">
        <is>
          <t>sh25</t>
        </is>
      </c>
      <c r="B21" s="13" t="inlineStr">
        <is>
          <t>2025 中国人形整机出货（实际）</t>
        </is>
      </c>
      <c r="C21" s="13" t="inlineStr">
        <is>
          <t>万台</t>
        </is>
      </c>
      <c r="D21" s="26" t="n">
        <v>1.8</v>
      </c>
      <c r="E21" s="26" t="n">
        <v>1.8</v>
      </c>
      <c r="F21" s="26" t="n">
        <v>1.8</v>
      </c>
      <c r="G21" s="24">
        <f>CHOOSE($C$4,D21,E21,F21)</f>
        <v/>
      </c>
      <c r="H21" s="13" t="inlineStr">
        <is>
          <t>D-74</t>
        </is>
      </c>
      <c r="I21" s="16" t="inlineStr">
        <is>
          <t>GGII：只计已交付、已验收。赛迪 1.44 万台、摩根士丹利对外销售 1.2 万台作对照（D-75、D-76）</t>
        </is>
      </c>
    </row>
    <row r="22">
      <c r="A22" s="13" t="inlineStr">
        <is>
          <t>sh26</t>
        </is>
      </c>
      <c r="B22" s="13" t="inlineStr">
        <is>
          <t>2026E 中国人形整机出货</t>
        </is>
      </c>
      <c r="C22" s="13" t="inlineStr">
        <is>
          <t>万台</t>
        </is>
      </c>
      <c r="D22" s="23" t="n">
        <v>4.8</v>
      </c>
      <c r="E22" s="23" t="n">
        <v>6.25</v>
      </c>
      <c r="F22" s="23" t="n">
        <v>8</v>
      </c>
      <c r="G22" s="24">
        <f>CHOOSE($C$4,D22,E22,F22)</f>
        <v/>
      </c>
      <c r="H22" s="13" t="inlineStr">
        <is>
          <t>D-78,D-80</t>
        </is>
      </c>
      <c r="I22" s="16" t="inlineStr">
        <is>
          <t>悲观：MIR 出货 4.8 万；基准：GGII 6.25 万；乐观：作者假设 8 万（2026H1 已达 1.9 万台，IDC；工信部等 10 万+ 为产量口径，不作出货）</t>
        </is>
      </c>
    </row>
    <row r="23">
      <c r="A23" s="13" t="inlineStr">
        <is>
          <t>sh30</t>
        </is>
      </c>
      <c r="B23" s="13" t="inlineStr">
        <is>
          <t>2030E 中国人形整机出货</t>
        </is>
      </c>
      <c r="C23" s="13" t="inlineStr">
        <is>
          <t>万台</t>
        </is>
      </c>
      <c r="D23" s="23" t="n">
        <v>25</v>
      </c>
      <c r="E23" s="23" t="n">
        <v>44.6</v>
      </c>
      <c r="F23" s="23" t="n">
        <v>58.4</v>
      </c>
      <c r="G23" s="24">
        <f>CHOOSE($C$4,D23,E23,F23)</f>
        <v/>
      </c>
      <c r="H23" s="13" t="inlineStr">
        <is>
          <t>D-81,D-83,D-78</t>
        </is>
      </c>
      <c r="I23" s="16" t="inlineStr">
        <is>
          <t>基准：摩根士丹利 44.6 万（二手）；乐观：IDC 全球 75 万+ × 2026H1 中国占比 77.9% ≈ 58.4 万（推算）；悲观：作者假设 25 万（约为基准的 56%）</t>
        </is>
      </c>
    </row>
    <row r="24">
      <c r="A24" s="13" t="inlineStr">
        <is>
          <t>ad25</t>
        </is>
      </c>
      <c r="B24" s="13" t="inlineStr">
        <is>
          <t>2025 六维力搭载率（搭载台数 ÷ 总出货台数）</t>
        </is>
      </c>
      <c r="C24" s="13" t="inlineStr">
        <is>
          <t>比例</t>
        </is>
      </c>
      <c r="D24" s="21" t="n">
        <v>0.2</v>
      </c>
      <c r="E24" s="21" t="n">
        <v>0.28</v>
      </c>
      <c r="F24" s="21" t="n">
        <v>0.35</v>
      </c>
      <c r="G24" s="20">
        <f>CHOOSE($C$4,D24,E24,F24)</f>
        <v/>
      </c>
      <c r="H24" s="13" t="inlineStr">
        <is>
          <t>D-23,D-25,D-26,D-27</t>
        </is>
      </c>
      <c r="I24" s="16" t="inlineStr">
        <is>
          <t>按出货台数口径：GGII / 赛迪 2025 年传感器用量 ÷ 整机出货，得每台平均 0.68–0.92 颗，再按搭载机型每台 2.7–3 颗折算约 23%–34%；中金 2024 年 20%</t>
        </is>
      </c>
    </row>
    <row r="25">
      <c r="A25" s="13" t="inlineStr">
        <is>
          <t>ad26</t>
        </is>
      </c>
      <c r="B25" s="13" t="inlineStr">
        <is>
          <t>2026E 搭载率</t>
        </is>
      </c>
      <c r="C25" s="13" t="inlineStr">
        <is>
          <t>比例</t>
        </is>
      </c>
      <c r="D25" s="21" t="n">
        <v>0.25</v>
      </c>
      <c r="E25" s="21" t="n">
        <v>0.33</v>
      </c>
      <c r="F25" s="21" t="n">
        <v>0.4</v>
      </c>
      <c r="G25" s="20">
        <f>CHOOSE($C$4,D25,E25,F25)</f>
        <v/>
      </c>
      <c r="H25" s="13" t="inlineStr">
        <is>
          <t>D-29,D-30</t>
        </is>
      </c>
      <c r="I25" s="16" t="inlineStr">
        <is>
          <t>工业场景占比上升，六维力“可选变必须”</t>
        </is>
      </c>
    </row>
    <row r="26">
      <c r="A26" s="13" t="inlineStr">
        <is>
          <t>ad30</t>
        </is>
      </c>
      <c r="B26" s="13" t="inlineStr">
        <is>
          <t>2030E 搭载率</t>
        </is>
      </c>
      <c r="C26" s="13" t="inlineStr">
        <is>
          <t>比例</t>
        </is>
      </c>
      <c r="D26" s="21" t="n">
        <v>0.35</v>
      </c>
      <c r="E26" s="21" t="n">
        <v>0.55</v>
      </c>
      <c r="F26" s="21" t="n">
        <v>0.7</v>
      </c>
      <c r="G26" s="20">
        <f>CHOOSE($C$4,D26,E26,F26)</f>
        <v/>
      </c>
      <c r="H26" s="13" t="inlineStr">
        <is>
          <t>D-23,D-24,D-28</t>
        </is>
      </c>
      <c r="I26" s="16" t="inlineStr">
        <is>
          <t>基准：中金 55%；悲观：协作机器人约 25% + 工业增量；乐观：接近赛迪隐含 3 颗/台。中金原文为“渗透率”，未说明按型号还是按出货台数，本文按出货台数口径使用，待核原文</t>
        </is>
      </c>
    </row>
    <row r="27">
      <c r="A27" s="13" t="inlineStr">
        <is>
          <t>units</t>
        </is>
      </c>
      <c r="B27" s="13" t="inlineStr">
        <is>
          <t>单机用量（每台配置机型）</t>
        </is>
      </c>
      <c r="C27" s="13" t="inlineStr">
        <is>
          <t>颗/台</t>
        </is>
      </c>
      <c r="D27" s="26" t="n">
        <v>2</v>
      </c>
      <c r="E27" s="26" t="n">
        <v>3</v>
      </c>
      <c r="F27" s="26" t="n">
        <v>4</v>
      </c>
      <c r="G27" s="24">
        <f>CHOOSE($C$4,D27,E27,F27)</f>
        <v/>
      </c>
      <c r="H27" s="13" t="inlineStr">
        <is>
          <t>D-01,D-02,D-03,D-06,D-10,D-18,D-19</t>
        </is>
      </c>
      <c r="I27" s="16" t="inlineStr">
        <is>
          <t>2 颗：只配腕部（Walker S2、智元 A2-W、银河通用 Galbot G1）；4 颗：腕 + 踝（Walker X/S1）；宇树、智元 A2 双足版官方未列六维力（D-31）</t>
        </is>
      </c>
    </row>
    <row r="28">
      <c r="A28" s="13" t="inlineStr">
        <is>
          <t>p25</t>
        </is>
      </c>
      <c r="B28" s="13" t="inlineStr">
        <is>
          <t>2025 国产人形专用单价</t>
        </is>
      </c>
      <c r="C28" s="13" t="inlineStr">
        <is>
          <t>元/颗</t>
        </is>
      </c>
      <c r="D28" s="27" t="n">
        <v>12000</v>
      </c>
      <c r="E28" s="27" t="n">
        <v>20000</v>
      </c>
      <c r="F28" s="27" t="n">
        <v>25000</v>
      </c>
      <c r="G28" s="28">
        <f>CHOOSE($C$4,D28,E28,F28)</f>
        <v/>
      </c>
      <c r="H28" s="13" t="inlineStr">
        <is>
          <t>D-48,D-49,D-52</t>
        </is>
      </c>
      <c r="I28" s="16" t="inlineStr">
        <is>
          <t>悲观列：国信 1–2 万、中金 1 万；基准：GGII 隐含 2.0 万；乐观列：赛迪隐含 2.5 万。进口 7–8 万只作对照（D-50、C-71）</t>
        </is>
      </c>
    </row>
    <row r="29">
      <c r="A29" s="13" t="inlineStr">
        <is>
          <t>d1</t>
        </is>
      </c>
      <c r="B29" s="13" t="inlineStr">
        <is>
          <t>年降价幅度 2026–2027</t>
        </is>
      </c>
      <c r="C29" s="13" t="inlineStr">
        <is>
          <t>比例/年</t>
        </is>
      </c>
      <c r="D29" s="21" t="n">
        <v>0.15</v>
      </c>
      <c r="E29" s="21" t="n">
        <v>0.25</v>
      </c>
      <c r="F29" s="21" t="n">
        <v>0.35</v>
      </c>
      <c r="G29" s="20">
        <f>CHOOSE($C$4,D29,E29,F29)</f>
        <v/>
      </c>
      <c r="H29" s="13" t="inlineStr">
        <is>
          <t>D-52,D-53,D-54</t>
        </is>
      </c>
      <c r="I29" s="16" t="inlineStr">
        <is>
          <t>量价反向搭配：采用率越高，规模效应带来的降价越快。赛迪“1–2 年再降 30%”、华宝每年 -15%、中金年均约 -29%</t>
        </is>
      </c>
    </row>
    <row r="30">
      <c r="A30" s="13" t="inlineStr">
        <is>
          <t>d2</t>
        </is>
      </c>
      <c r="B30" s="13" t="inlineStr">
        <is>
          <t>年降价幅度 2028–2030</t>
        </is>
      </c>
      <c r="C30" s="13" t="inlineStr">
        <is>
          <t>比例/年</t>
        </is>
      </c>
      <c r="D30" s="21" t="n">
        <v>0.1</v>
      </c>
      <c r="E30" s="21" t="n">
        <v>0.2</v>
      </c>
      <c r="F30" s="21" t="n">
        <v>0.25</v>
      </c>
      <c r="G30" s="20">
        <f>CHOOSE($C$4,D30,E30,F30)</f>
        <v/>
      </c>
      <c r="H30" s="13" t="inlineStr">
        <is>
          <t>D-52,D-53</t>
        </is>
      </c>
      <c r="I30" s="16" t="inlineStr">
        <is>
          <t>中金 2027 年后每年 -10%；华宝 -15% 至 -21%</t>
        </is>
      </c>
    </row>
    <row r="31">
      <c r="A31" s="11" t="inlineStr">
        <is>
          <t>C. 公司：份额与利润率（六维力 / 机器人力传感器相关业务）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3" t="inlineStr">
        <is>
          <t>gm</t>
        </is>
      </c>
      <c r="B32" s="13" t="inlineStr">
        <is>
          <t>相关业务毛利率</t>
        </is>
      </c>
      <c r="C32" s="13" t="inlineStr">
        <is>
          <t>比例</t>
        </is>
      </c>
      <c r="D32" s="19" t="n">
        <v>0.3</v>
      </c>
      <c r="E32" s="19" t="n">
        <v>0.4</v>
      </c>
      <c r="F32" s="19" t="n">
        <v>0.5</v>
      </c>
      <c r="G32" s="20">
        <f>CHOOSE($C$4,D32,E32,F32)</f>
        <v/>
      </c>
      <c r="H32" s="13" t="inlineStr">
        <is>
          <t>C-25,C-35,D-44,D-57</t>
        </is>
      </c>
      <c r="I32" s="16" t="inlineStr">
        <is>
          <t>柯力 2025 综合毛利率 44.83%（C-25）；安培龙力传感器募投项目达产毛利率 37.77%（C-35）；人形专用型号毛利率未找到，降价期取区间</t>
        </is>
      </c>
    </row>
    <row r="33">
      <c r="A33" s="13" t="inlineStr">
        <is>
          <t>opex</t>
        </is>
      </c>
      <c r="B33" s="13" t="inlineStr">
        <is>
          <t>增量期间费用率（销售 + 管理 + 研发）</t>
        </is>
      </c>
      <c r="C33" s="13" t="inlineStr">
        <is>
          <t>比例</t>
        </is>
      </c>
      <c r="D33" s="19" t="n">
        <v>0.15</v>
      </c>
      <c r="E33" s="19" t="n">
        <v>0.12</v>
      </c>
      <c r="F33" s="19" t="n">
        <v>0.1</v>
      </c>
      <c r="G33" s="20">
        <f>CHOOSE($C$4,D33,E33,F33)</f>
        <v/>
      </c>
      <c r="H33" s="13" t="inlineStr">
        <is>
          <t>—</t>
        </is>
      </c>
      <c r="I33" s="16" t="inlineStr">
        <is>
          <t>作者假设：新业务需持续研发和送样投入；规模越大费用率越低</t>
        </is>
      </c>
    </row>
    <row r="34">
      <c r="A34" s="13" t="inlineStr">
        <is>
          <t>tax</t>
        </is>
      </c>
      <c r="B34" s="13" t="inlineStr">
        <is>
          <t>所得税率</t>
        </is>
      </c>
      <c r="C34" s="13" t="inlineStr">
        <is>
          <t>比例</t>
        </is>
      </c>
      <c r="D34" s="19" t="n">
        <v>0.15</v>
      </c>
      <c r="E34" s="19" t="n">
        <v>0.15</v>
      </c>
      <c r="F34" s="19" t="n">
        <v>0.15</v>
      </c>
      <c r="G34" s="20">
        <f>CHOOSE($C$4,D34,E34,F34)</f>
        <v/>
      </c>
      <c r="H34" s="13" t="inlineStr">
        <is>
          <t>—</t>
        </is>
      </c>
      <c r="I34" s="16" t="inlineStr">
        <is>
          <t>高新技术企业 15%（作者假设三家均适用）</t>
        </is>
      </c>
    </row>
    <row r="35">
      <c r="A35" s="13" t="inlineStr">
        <is>
          <t>ky_s26</t>
        </is>
      </c>
      <c r="B35" s="13" t="inlineStr">
        <is>
          <t>柯力传感 2026E 份额</t>
        </is>
      </c>
      <c r="C35" s="13" t="inlineStr">
        <is>
          <t>比例</t>
        </is>
      </c>
      <c r="D35" s="19" t="n">
        <v>0.05</v>
      </c>
      <c r="E35" s="19" t="n">
        <v>0.05</v>
      </c>
      <c r="F35" s="19" t="n">
        <v>0.05</v>
      </c>
      <c r="G35" s="20">
        <f>CHOOSE($C$4,D35,E35,F35)</f>
        <v/>
      </c>
      <c r="H35" s="13" t="inlineStr">
        <is>
          <t>C-12,C-21,D-65</t>
        </is>
      </c>
      <c r="I35" s="16" t="inlineStr">
        <is>
          <t>柯力 2026H1 机器人力学传感器 2,000+ 只（含关节力矩、协作机器人，C-12），国金预计全年约 1.2 万只（C-21）；基准 2026E 中国人形六维力需求约 6.19 万颗，5% 约 3,100 颗；赛迪 2025 年前三家合计 92.8%，其余厂商合计 ≤7.2%（D-65）</t>
        </is>
      </c>
    </row>
    <row r="36">
      <c r="A36" s="13" t="inlineStr">
        <is>
          <t>ky_s30</t>
        </is>
      </c>
      <c r="B36" s="13" t="inlineStr">
        <is>
          <t>柯力传感 2030E 份额</t>
        </is>
      </c>
      <c r="C36" s="13" t="inlineStr">
        <is>
          <t>比例</t>
        </is>
      </c>
      <c r="D36" s="19" t="n">
        <v>0.03</v>
      </c>
      <c r="E36" s="19" t="n">
        <v>0.08</v>
      </c>
      <c r="F36" s="19" t="n">
        <v>0.15</v>
      </c>
      <c r="G36" s="20">
        <f>CHOOSE($C$4,D36,E36,F36)</f>
        <v/>
      </c>
      <c r="H36" s="13" t="inlineStr">
        <is>
          <t>C-08,C-14,C-15,C-16</t>
        </is>
      </c>
      <c r="I36" s="16" t="inlineStr">
        <is>
          <t>已进入批量过渡、送样 90+ 家，但头部客户仍在验证、批量客户开普勒为关联方；份额为作者假设区间</t>
        </is>
      </c>
    </row>
    <row r="37">
      <c r="A37" s="13" t="inlineStr">
        <is>
          <t>ap_s26</t>
        </is>
      </c>
      <c r="B37" s="13" t="inlineStr">
        <is>
          <t>安培龙 2026E 份额</t>
        </is>
      </c>
      <c r="C37" s="13" t="inlineStr">
        <is>
          <t>比例</t>
        </is>
      </c>
      <c r="D37" s="19" t="n">
        <v>0.02</v>
      </c>
      <c r="E37" s="19" t="n">
        <v>0.02</v>
      </c>
      <c r="F37" s="19" t="n">
        <v>0.02</v>
      </c>
      <c r="G37" s="20">
        <f>CHOOSE($C$4,D37,E37,F37)</f>
        <v/>
      </c>
      <c r="H37" s="13" t="inlineStr">
        <is>
          <t>C-38,C-39</t>
        </is>
      </c>
      <c r="I37" s="16" t="inlineStr">
        <is>
          <t>2026-09 部分客户批量交付，收入占比低（作者假设）</t>
        </is>
      </c>
    </row>
    <row r="38">
      <c r="A38" s="13" t="inlineStr">
        <is>
          <t>ap_s30</t>
        </is>
      </c>
      <c r="B38" s="13" t="inlineStr">
        <is>
          <t>安培龙 2030E 份额</t>
        </is>
      </c>
      <c r="C38" s="13" t="inlineStr">
        <is>
          <t>比例</t>
        </is>
      </c>
      <c r="D38" s="19" t="n">
        <v>0.01</v>
      </c>
      <c r="E38" s="19" t="n">
        <v>0.05</v>
      </c>
      <c r="F38" s="19" t="n">
        <v>0.1</v>
      </c>
      <c r="G38" s="20">
        <f>CHOOSE($C$4,D38,E38,F38)</f>
        <v/>
      </c>
      <c r="H38" s="13" t="inlineStr">
        <is>
          <t>C-35,C-39</t>
        </is>
      </c>
      <c r="I38" s="16" t="inlineStr">
        <is>
          <t>定增新增年产约 50 万只力传感器（含六维力，计划）；份额为作者假设区间</t>
        </is>
      </c>
    </row>
    <row r="39">
      <c r="A39" s="13" t="inlineStr">
        <is>
          <t>dh_s26</t>
        </is>
      </c>
      <c r="B39" s="13" t="inlineStr">
        <is>
          <t>东华测试 2026E 份额</t>
        </is>
      </c>
      <c r="C39" s="13" t="inlineStr">
        <is>
          <t>比例</t>
        </is>
      </c>
      <c r="D39" s="19" t="n">
        <v>0</v>
      </c>
      <c r="E39" s="19" t="n">
        <v>0</v>
      </c>
      <c r="F39" s="19" t="n">
        <v>0</v>
      </c>
      <c r="G39" s="20">
        <f>CHOOSE($C$4,D39,E39,F39)</f>
        <v/>
      </c>
      <c r="H39" s="13" t="inlineStr">
        <is>
          <t>C-46,C-47,C-50</t>
        </is>
      </c>
      <c r="I39" s="16" t="inlineStr">
        <is>
          <t>无人形六维力订单，仍为小批量试制 / 关节模组发布</t>
        </is>
      </c>
    </row>
    <row r="40">
      <c r="A40" s="13" t="inlineStr">
        <is>
          <t>dh_s30</t>
        </is>
      </c>
      <c r="B40" s="13" t="inlineStr">
        <is>
          <t>东华测试 2030E 份额</t>
        </is>
      </c>
      <c r="C40" s="13" t="inlineStr">
        <is>
          <t>比例</t>
        </is>
      </c>
      <c r="D40" s="19" t="n">
        <v>0</v>
      </c>
      <c r="E40" s="19" t="n">
        <v>0.01</v>
      </c>
      <c r="F40" s="19" t="n">
        <v>0.03</v>
      </c>
      <c r="G40" s="20">
        <f>CHOOSE($C$4,D40,E40,F40)</f>
        <v/>
      </c>
      <c r="H40" s="13" t="inlineStr">
        <is>
          <t>C-50,C-51</t>
        </is>
      </c>
      <c r="I40" s="16" t="inlineStr">
        <is>
          <t>技术储备与检测能力存在，但无兑现证据（作者假设）</t>
        </is>
      </c>
    </row>
    <row r="41">
      <c r="A41" s="11" t="inlineStr">
        <is>
          <t>D. 估值：当前市值隐含什么预期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>
      <c r="A42" s="13" t="inlineStr">
        <is>
          <t>ky_mc</t>
        </is>
      </c>
      <c r="B42" s="13" t="inlineStr">
        <is>
          <t>柯力传感 总市值</t>
        </is>
      </c>
      <c r="C42" s="13" t="inlineStr">
        <is>
          <t>亿元</t>
        </is>
      </c>
      <c r="D42" s="14" t="n">
        <v>122.25</v>
      </c>
      <c r="E42" s="14" t="n">
        <v>122.25</v>
      </c>
      <c r="F42" s="14" t="n">
        <v>122.25</v>
      </c>
      <c r="G42" s="15">
        <f>CHOOSE($C$4,D42,E42,F42)</f>
        <v/>
      </c>
      <c r="H42" s="13" t="inlineStr">
        <is>
          <t>F-01</t>
        </is>
      </c>
      <c r="I42" s="16" t="inlineStr">
        <is>
          <t>Findesk（iFinD 数据）2026-10-19 收盘：不复权收盘价 × 总股本 = 122.25 亿元</t>
        </is>
      </c>
    </row>
    <row r="43">
      <c r="A43" s="13" t="inlineStr">
        <is>
          <t>ky_np</t>
        </is>
      </c>
      <c r="B43" s="13" t="inlineStr">
        <is>
          <t>柯力传感 原有业务净利润（2025 扣非）</t>
        </is>
      </c>
      <c r="C43" s="13" t="inlineStr">
        <is>
          <t>亿元</t>
        </is>
      </c>
      <c r="D43" s="14" t="n">
        <v>2.1392</v>
      </c>
      <c r="E43" s="14" t="n">
        <v>2.1392</v>
      </c>
      <c r="F43" s="14" t="n">
        <v>2.1392</v>
      </c>
      <c r="G43" s="15">
        <f>CHOOSE($C$4,D43,E43,F43)</f>
        <v/>
      </c>
      <c r="H43" s="13" t="inlineStr">
        <is>
          <t>F-02；C-24</t>
        </is>
      </c>
      <c r="I43" s="16" t="inlineStr">
        <is>
          <t>归母 3.41 亿含大额公允价值收益，故用扣非；Findesk 取数与年报转述一致</t>
        </is>
      </c>
    </row>
    <row r="44">
      <c r="A44" s="13" t="inlineStr">
        <is>
          <t>ap_mc</t>
        </is>
      </c>
      <c r="B44" s="13" t="inlineStr">
        <is>
          <t>安培龙 总市值</t>
        </is>
      </c>
      <c r="C44" s="13" t="inlineStr">
        <is>
          <t>亿元</t>
        </is>
      </c>
      <c r="D44" s="14" t="n">
        <v>64.41</v>
      </c>
      <c r="E44" s="14" t="n">
        <v>64.41</v>
      </c>
      <c r="F44" s="14" t="n">
        <v>64.41</v>
      </c>
      <c r="G44" s="15">
        <f>CHOOSE($C$4,D44,E44,F44)</f>
        <v/>
      </c>
      <c r="H44" s="13" t="inlineStr">
        <is>
          <t>F-03</t>
        </is>
      </c>
      <c r="I44" s="16" t="inlineStr">
        <is>
          <t>Findesk（iFinD 数据）2026-10-19 收盘：不复权收盘价 × 总股本 = 64.41 亿元</t>
        </is>
      </c>
    </row>
    <row r="45">
      <c r="A45" s="13" t="inlineStr">
        <is>
          <t>ap_np</t>
        </is>
      </c>
      <c r="B45" s="13" t="inlineStr">
        <is>
          <t>安培龙 原有业务净利润（2025 扣非）</t>
        </is>
      </c>
      <c r="C45" s="13" t="inlineStr">
        <is>
          <t>亿元</t>
        </is>
      </c>
      <c r="D45" s="14" t="n">
        <v>0.8092</v>
      </c>
      <c r="E45" s="14" t="n">
        <v>0.8092</v>
      </c>
      <c r="F45" s="14" t="n">
        <v>0.8092</v>
      </c>
      <c r="G45" s="15">
        <f>CHOOSE($C$4,D45,E45,F45)</f>
        <v/>
      </c>
      <c r="H45" s="13" t="inlineStr">
        <is>
          <t>F-04；C-42</t>
        </is>
      </c>
      <c r="I45" s="16" t="inlineStr">
        <is>
          <t>2026H1 扣非仅 374 万，若用 2026 年化利润，隐含预期更高；Findesk 取数与年报一致</t>
        </is>
      </c>
    </row>
    <row r="46">
      <c r="A46" s="13" t="inlineStr">
        <is>
          <t>dh_mc</t>
        </is>
      </c>
      <c r="B46" s="13" t="inlineStr">
        <is>
          <t>东华测试 总市值</t>
        </is>
      </c>
      <c r="C46" s="13" t="inlineStr">
        <is>
          <t>亿元</t>
        </is>
      </c>
      <c r="D46" s="14" t="n">
        <v>35.19</v>
      </c>
      <c r="E46" s="14" t="n">
        <v>35.19</v>
      </c>
      <c r="F46" s="14" t="n">
        <v>35.19</v>
      </c>
      <c r="G46" s="15">
        <f>CHOOSE($C$4,D46,E46,F46)</f>
        <v/>
      </c>
      <c r="H46" s="13" t="inlineStr">
        <is>
          <t>F-05</t>
        </is>
      </c>
      <c r="I46" s="16" t="inlineStr">
        <is>
          <t>Findesk（iFinD 数据）2026-10-19 收盘：不复权收盘价 × 总股本 = 35.19 亿元</t>
        </is>
      </c>
    </row>
    <row r="47">
      <c r="A47" s="13" t="inlineStr">
        <is>
          <t>dh_np</t>
        </is>
      </c>
      <c r="B47" s="13" t="inlineStr">
        <is>
          <t>东华测试 原有业务净利润（2025 扣非）</t>
        </is>
      </c>
      <c r="C47" s="13" t="inlineStr">
        <is>
          <t>亿元</t>
        </is>
      </c>
      <c r="D47" s="14" t="n">
        <v>1.3009</v>
      </c>
      <c r="E47" s="14" t="n">
        <v>1.3009</v>
      </c>
      <c r="F47" s="14" t="n">
        <v>1.3009</v>
      </c>
      <c r="G47" s="15">
        <f>CHOOSE($C$4,D47,E47,F47)</f>
        <v/>
      </c>
      <c r="H47" s="13" t="inlineStr">
        <is>
          <t>F-06；C-52</t>
        </is>
      </c>
      <c r="I47" s="16" t="inlineStr">
        <is>
          <t>Findesk 取数 1.3009 亿，与年报转述约 1.30 亿一致</t>
        </is>
      </c>
    </row>
    <row r="48">
      <c r="A48" s="13" t="inlineStr">
        <is>
          <t>pe_base</t>
        </is>
      </c>
      <c r="B48" s="13" t="inlineStr">
        <is>
          <t>原有业务合理 PE</t>
        </is>
      </c>
      <c r="C48" s="13" t="inlineStr">
        <is>
          <t>x</t>
        </is>
      </c>
      <c r="D48" s="29" t="n">
        <v>20</v>
      </c>
      <c r="E48" s="29" t="n">
        <v>25</v>
      </c>
      <c r="F48" s="29" t="n">
        <v>30</v>
      </c>
      <c r="G48" s="30">
        <f>CHOOSE($C$4,D48,E48,F48)</f>
        <v/>
      </c>
      <c r="H48" s="13" t="inlineStr">
        <is>
          <t>—</t>
        </is>
      </c>
      <c r="I48" s="16" t="inlineStr">
        <is>
          <t>作者假设：传感器 / 测试仪器成熟业务；可按可比公司调整</t>
        </is>
      </c>
    </row>
    <row r="49">
      <c r="A49" s="13" t="inlineStr">
        <is>
          <t>pe_new</t>
        </is>
      </c>
      <c r="B49" s="13" t="inlineStr">
        <is>
          <t>新业务稳态 PE</t>
        </is>
      </c>
      <c r="C49" s="13" t="inlineStr">
        <is>
          <t>x</t>
        </is>
      </c>
      <c r="D49" s="29" t="n">
        <v>25</v>
      </c>
      <c r="E49" s="29" t="n">
        <v>30</v>
      </c>
      <c r="F49" s="29" t="n">
        <v>40</v>
      </c>
      <c r="G49" s="30">
        <f>CHOOSE($C$4,D49,E49,F49)</f>
        <v/>
      </c>
      <c r="H49" s="13" t="inlineStr">
        <is>
          <t>—</t>
        </is>
      </c>
      <c r="I49" s="16" t="inlineStr">
        <is>
          <t>作者假设：用于把“隐含新业务市值”换算为所需的净利润（未折现）</t>
        </is>
      </c>
    </row>
    <row r="50">
      <c r="A50" s="13" t="inlineStr">
        <is>
          <t>ky_oa</t>
        </is>
      </c>
      <c r="B50" s="13" t="inlineStr">
        <is>
          <t>柯力传感 非经营性投资资产（2026-06-30 账面）</t>
        </is>
      </c>
      <c r="C50" s="13" t="inlineStr">
        <is>
          <t>亿元</t>
        </is>
      </c>
      <c r="D50" s="14" t="n">
        <v>12.2646</v>
      </c>
      <c r="E50" s="14" t="n">
        <v>12.2646</v>
      </c>
      <c r="F50" s="14" t="n">
        <v>12.2646</v>
      </c>
      <c r="G50" s="15">
        <f>CHOOSE($C$4,D50,E50,F50)</f>
        <v/>
      </c>
      <c r="H50" s="13" t="inlineStr">
        <is>
          <t>F-07</t>
        </is>
      </c>
      <c r="I50" s="16" t="inlineStr">
        <is>
          <t>交易性金融资产 7.3655 + 其他非流动金融资产 2.7721 + 长期股权投资 2.1270；其收益多计入非经常性损益，不在扣非利润中，故单独加回</t>
        </is>
      </c>
    </row>
    <row r="51">
      <c r="A51" s="13" t="inlineStr">
        <is>
          <t>ap_oa</t>
        </is>
      </c>
      <c r="B51" s="13" t="inlineStr">
        <is>
          <t>安培龙 非经营性投资资产（2026-06-30 账面）</t>
        </is>
      </c>
      <c r="C51" s="13" t="inlineStr">
        <is>
          <t>亿元</t>
        </is>
      </c>
      <c r="D51" s="14" t="n">
        <v>0.17</v>
      </c>
      <c r="E51" s="14" t="n">
        <v>0.17</v>
      </c>
      <c r="F51" s="14" t="n">
        <v>0.17</v>
      </c>
      <c r="G51" s="15">
        <f>CHOOSE($C$4,D51,E51,F51)</f>
        <v/>
      </c>
      <c r="H51" s="13" t="inlineStr">
        <is>
          <t>F-08</t>
        </is>
      </c>
      <c r="I51" s="16" t="inlineStr">
        <is>
          <t>其他权益工具投资 0.17；无交易性金融资产和长期股权投资</t>
        </is>
      </c>
    </row>
    <row r="52">
      <c r="A52" s="13" t="inlineStr">
        <is>
          <t>dh_oa</t>
        </is>
      </c>
      <c r="B52" s="13" t="inlineStr">
        <is>
          <t>东华测试 非经营性投资资产（2026-06-30 账面）</t>
        </is>
      </c>
      <c r="C52" s="13" t="inlineStr">
        <is>
          <t>亿元</t>
        </is>
      </c>
      <c r="D52" s="14" t="n">
        <v>0.25</v>
      </c>
      <c r="E52" s="14" t="n">
        <v>0.25</v>
      </c>
      <c r="F52" s="14" t="n">
        <v>0.25</v>
      </c>
      <c r="G52" s="15">
        <f>CHOOSE($C$4,D52,E52,F52)</f>
        <v/>
      </c>
      <c r="H52" s="13" t="inlineStr">
        <is>
          <t>F-09</t>
        </is>
      </c>
      <c r="I52" s="16" t="inlineStr">
        <is>
          <t>交易性金融资产 0.25</t>
        </is>
      </c>
    </row>
    <row r="53">
      <c r="A53" s="13" t="inlineStr">
        <is>
          <t>ky_nc</t>
        </is>
      </c>
      <c r="B53" s="13" t="inlineStr">
        <is>
          <t>柯力传感 净现金（参考，负数为净负债）</t>
        </is>
      </c>
      <c r="C53" s="13" t="inlineStr">
        <is>
          <t>亿元</t>
        </is>
      </c>
      <c r="D53" s="14" t="n">
        <v>-4.6488</v>
      </c>
      <c r="E53" s="14" t="n">
        <v>-4.6488</v>
      </c>
      <c r="F53" s="14" t="n">
        <v>-4.6488</v>
      </c>
      <c r="G53" s="15">
        <f>CHOOSE($C$4,D53,E53,F53)</f>
        <v/>
      </c>
      <c r="H53" s="13" t="inlineStr">
        <is>
          <t>F-07</t>
        </is>
      </c>
      <c r="I53" s="16" t="inlineStr">
        <is>
          <t>货币资金 2.2625 − 有息负债 6.9113（短借 6.7944 + 一年内到期 0.0605 + 长借 0.0033 + 租赁 0.0531）。理财 7.3655 已计入上方投资资产，此处不重复；只作参考，不进入基准算法</t>
        </is>
      </c>
    </row>
    <row r="54">
      <c r="A54" s="13" t="inlineStr">
        <is>
          <t>ap_nc</t>
        </is>
      </c>
      <c r="B54" s="13" t="inlineStr">
        <is>
          <t>安培龙 净现金（参考，负数为净负债）</t>
        </is>
      </c>
      <c r="C54" s="13" t="inlineStr">
        <is>
          <t>亿元</t>
        </is>
      </c>
      <c r="D54" s="14" t="n">
        <v>-4.5785</v>
      </c>
      <c r="E54" s="14" t="n">
        <v>-4.5785</v>
      </c>
      <c r="F54" s="14" t="n">
        <v>-4.5785</v>
      </c>
      <c r="G54" s="15">
        <f>CHOOSE($C$4,D54,E54,F54)</f>
        <v/>
      </c>
      <c r="H54" s="13" t="inlineStr">
        <is>
          <t>F-08</t>
        </is>
      </c>
      <c r="I54" s="16" t="inlineStr">
        <is>
          <t>货币资金 1.5431 − 有息负债 6.1216（短借 4.8621 + 一年内到期 0.8106 + 长借 0.36 + 租赁 0.0889）</t>
        </is>
      </c>
    </row>
    <row r="55">
      <c r="A55" s="13" t="inlineStr">
        <is>
          <t>dh_nc</t>
        </is>
      </c>
      <c r="B55" s="13" t="inlineStr">
        <is>
          <t>东华测试 净现金（参考，负数为净负债）</t>
        </is>
      </c>
      <c r="C55" s="13" t="inlineStr">
        <is>
          <t>亿元</t>
        </is>
      </c>
      <c r="D55" s="14" t="n">
        <v>1.3721</v>
      </c>
      <c r="E55" s="14" t="n">
        <v>1.3721</v>
      </c>
      <c r="F55" s="14" t="n">
        <v>1.3721</v>
      </c>
      <c r="G55" s="15">
        <f>CHOOSE($C$4,D55,E55,F55)</f>
        <v/>
      </c>
      <c r="H55" s="13" t="inlineStr">
        <is>
          <t>F-09</t>
        </is>
      </c>
      <c r="I55" s="16" t="inlineStr">
        <is>
          <t>货币资金 1.3747 − 有息负债 0.0026（一年内到期 0.0017 + 租赁 0.0009）。交易性金融资产 0.25 已计入上方投资资产</t>
        </is>
      </c>
    </row>
    <row r="56">
      <c r="A56" s="13" t="inlineStr">
        <is>
          <t>disc</t>
        </is>
      </c>
      <c r="B56" s="13" t="inlineStr">
        <is>
          <t>股权折现率</t>
        </is>
      </c>
      <c r="C56" s="13" t="inlineStr">
        <is>
          <t>比例</t>
        </is>
      </c>
      <c r="D56" s="19" t="n">
        <v>0.12</v>
      </c>
      <c r="E56" s="19" t="n">
        <v>0.1</v>
      </c>
      <c r="F56" s="19" t="n">
        <v>0.08</v>
      </c>
      <c r="G56" s="20">
        <f>CHOOSE($C$4,D56,E56,F56)</f>
        <v/>
      </c>
      <c r="H56" s="13" t="inlineStr">
        <is>
          <t>—</t>
        </is>
      </c>
      <c r="I56" s="16" t="inlineStr">
        <is>
          <t>作者假设：把 2029 年末的新业务价值折回报告日</t>
        </is>
      </c>
    </row>
    <row r="57">
      <c r="A57" s="13" t="inlineStr">
        <is>
          <t>yrs</t>
        </is>
      </c>
      <c r="B57" s="13" t="inlineStr">
        <is>
          <t>折现年数</t>
        </is>
      </c>
      <c r="C57" s="13" t="inlineStr">
        <is>
          <t>年</t>
        </is>
      </c>
      <c r="D57" s="50" t="n">
        <v>3.2</v>
      </c>
      <c r="E57" s="50" t="n">
        <v>3.2</v>
      </c>
      <c r="F57" s="50" t="n">
        <v>3.2</v>
      </c>
      <c r="G57" s="51">
        <f>CHOOSE($C$4,D57,E57,F57)</f>
        <v/>
      </c>
      <c r="H57" s="13" t="inlineStr">
        <is>
          <t>—</t>
        </is>
      </c>
      <c r="I57" s="16" t="inlineStr">
        <is>
          <t>2026-10-19 至 2029-12-31 约 3.2 年；2030E 利润按前瞻 PE 在 2029 年末定价（作者设定）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5" t="inlineStr">
        <is>
          <t>客户 ROI：国内汽车工厂线边料箱搬运 / 上下料（单台人形机器人）</t>
        </is>
      </c>
    </row>
    <row r="2">
      <c r="A2" s="6" t="inlineStr">
        <is>
          <t>回本期 = 初始投入 ÷（年节省人工 − 年新增运维）；年净节省 ≤ 0 时显示“无法回本”。三列同时展示，不受情景开关影响。</t>
        </is>
      </c>
    </row>
    <row r="4">
      <c r="A4" s="10" t="inlineStr">
        <is>
          <t>项目</t>
        </is>
      </c>
      <c r="B4" s="10" t="inlineStr">
        <is>
          <t>单位</t>
        </is>
      </c>
      <c r="C4" s="10" t="inlineStr">
        <is>
          <t>悲观</t>
        </is>
      </c>
      <c r="D4" s="10" t="inlineStr">
        <is>
          <t>中性</t>
        </is>
      </c>
      <c r="E4" s="10" t="inlineStr">
        <is>
          <t>乐观</t>
        </is>
      </c>
      <c r="F4" s="10" t="inlineStr">
        <is>
          <t>公式 / 说明</t>
        </is>
      </c>
    </row>
    <row r="5">
      <c r="A5" s="11" t="inlineStr">
        <is>
          <t>输入（引自「假设」页）</t>
        </is>
      </c>
      <c r="B5" s="12" t="n"/>
      <c r="C5" s="12" t="n"/>
      <c r="D5" s="12" t="n"/>
      <c r="E5" s="12" t="n"/>
      <c r="F5" s="12" t="n"/>
    </row>
    <row r="6">
      <c r="A6" s="13" t="inlineStr">
        <is>
          <t>初始投入</t>
        </is>
      </c>
      <c r="B6" s="13" t="inlineStr">
        <is>
          <t>万元</t>
        </is>
      </c>
      <c r="C6" s="31">
        <f>假设!D8</f>
        <v/>
      </c>
      <c r="D6" s="31">
        <f>假设!E8</f>
        <v/>
      </c>
      <c r="E6" s="31">
        <f>假设!F8</f>
        <v/>
      </c>
      <c r="F6" s="13" t="inlineStr"/>
    </row>
    <row r="7">
      <c r="A7" s="13" t="inlineStr">
        <is>
          <t>计划工时</t>
        </is>
      </c>
      <c r="B7" s="13" t="inlineStr">
        <is>
          <t>小时/年</t>
        </is>
      </c>
      <c r="C7" s="32">
        <f>假设!D9</f>
        <v/>
      </c>
      <c r="D7" s="32">
        <f>假设!E9</f>
        <v/>
      </c>
      <c r="E7" s="32">
        <f>假设!F9</f>
        <v/>
      </c>
      <c r="F7" s="13" t="inlineStr"/>
    </row>
    <row r="8">
      <c r="A8" s="13" t="inlineStr">
        <is>
          <t>可用率</t>
        </is>
      </c>
      <c r="B8" s="13" t="inlineStr">
        <is>
          <t>比例</t>
        </is>
      </c>
      <c r="C8" s="33">
        <f>假设!D10</f>
        <v/>
      </c>
      <c r="D8" s="33">
        <f>假设!E10</f>
        <v/>
      </c>
      <c r="E8" s="33">
        <f>假设!F10</f>
        <v/>
      </c>
      <c r="F8" s="13" t="inlineStr"/>
    </row>
    <row r="9">
      <c r="A9" s="13" t="inlineStr">
        <is>
          <t>相对人工速度</t>
        </is>
      </c>
      <c r="B9" s="13" t="inlineStr">
        <is>
          <t>比例</t>
        </is>
      </c>
      <c r="C9" s="33">
        <f>假设!D11</f>
        <v/>
      </c>
      <c r="D9" s="33">
        <f>假设!E11</f>
        <v/>
      </c>
      <c r="E9" s="33">
        <f>假设!F11</f>
        <v/>
      </c>
      <c r="F9" s="13" t="inlineStr"/>
    </row>
    <row r="10">
      <c r="A10" s="13" t="inlineStr">
        <is>
          <t>成功率</t>
        </is>
      </c>
      <c r="B10" s="13" t="inlineStr">
        <is>
          <t>比例</t>
        </is>
      </c>
      <c r="C10" s="33">
        <f>假设!D12</f>
        <v/>
      </c>
      <c r="D10" s="33">
        <f>假设!E12</f>
        <v/>
      </c>
      <c r="E10" s="33">
        <f>假设!F12</f>
        <v/>
      </c>
      <c r="F10" s="13" t="inlineStr"/>
    </row>
    <row r="11">
      <c r="A11" s="13" t="inlineStr">
        <is>
          <t>单人年工时</t>
        </is>
      </c>
      <c r="B11" s="13" t="inlineStr">
        <is>
          <t>小时/年</t>
        </is>
      </c>
      <c r="C11" s="32">
        <f>假设!D13</f>
        <v/>
      </c>
      <c r="D11" s="32">
        <f>假设!E13</f>
        <v/>
      </c>
      <c r="E11" s="32">
        <f>假设!F13</f>
        <v/>
      </c>
      <c r="F11" s="13" t="inlineStr"/>
    </row>
    <row r="12">
      <c r="A12" s="13" t="inlineStr">
        <is>
          <t>单人年综合用工成本</t>
        </is>
      </c>
      <c r="B12" s="13" t="inlineStr">
        <is>
          <t>万元</t>
        </is>
      </c>
      <c r="C12" s="31">
        <f>假设!D14</f>
        <v/>
      </c>
      <c r="D12" s="31">
        <f>假设!E14</f>
        <v/>
      </c>
      <c r="E12" s="31">
        <f>假设!F14</f>
        <v/>
      </c>
      <c r="F12" s="13" t="inlineStr"/>
    </row>
    <row r="13">
      <c r="A13" s="13" t="inlineStr">
        <is>
          <t>软件与维保年费率</t>
        </is>
      </c>
      <c r="B13" s="13" t="inlineStr">
        <is>
          <t>比例</t>
        </is>
      </c>
      <c r="C13" s="33">
        <f>假设!D15</f>
        <v/>
      </c>
      <c r="D13" s="33">
        <f>假设!E15</f>
        <v/>
      </c>
      <c r="E13" s="33">
        <f>假设!F15</f>
        <v/>
      </c>
      <c r="F13" s="13" t="inlineStr"/>
    </row>
    <row r="14">
      <c r="A14" s="13" t="inlineStr">
        <is>
          <t>监管工程师配比</t>
        </is>
      </c>
      <c r="B14" s="13" t="inlineStr">
        <is>
          <t>人/台</t>
        </is>
      </c>
      <c r="C14" s="34">
        <f>假设!D16</f>
        <v/>
      </c>
      <c r="D14" s="34">
        <f>假设!E16</f>
        <v/>
      </c>
      <c r="E14" s="34">
        <f>假设!F16</f>
        <v/>
      </c>
      <c r="F14" s="13" t="inlineStr"/>
    </row>
    <row r="15">
      <c r="A15" s="13" t="inlineStr">
        <is>
          <t>工程师年综合成本</t>
        </is>
      </c>
      <c r="B15" s="13" t="inlineStr">
        <is>
          <t>万元</t>
        </is>
      </c>
      <c r="C15" s="31">
        <f>假设!D17</f>
        <v/>
      </c>
      <c r="D15" s="31">
        <f>假设!E17</f>
        <v/>
      </c>
      <c r="E15" s="31">
        <f>假设!F17</f>
        <v/>
      </c>
      <c r="F15" s="13" t="inlineStr"/>
    </row>
    <row r="16">
      <c r="A16" s="13" t="inlineStr">
        <is>
          <t>能耗</t>
        </is>
      </c>
      <c r="B16" s="13" t="inlineStr">
        <is>
          <t>元/小时</t>
        </is>
      </c>
      <c r="C16" s="34">
        <f>假设!D18</f>
        <v/>
      </c>
      <c r="D16" s="34">
        <f>假设!E18</f>
        <v/>
      </c>
      <c r="E16" s="34">
        <f>假设!F18</f>
        <v/>
      </c>
      <c r="F16" s="13" t="inlineStr"/>
    </row>
    <row r="17">
      <c r="A17" s="13" t="inlineStr">
        <is>
          <t>目标回本期</t>
        </is>
      </c>
      <c r="B17" s="13" t="inlineStr">
        <is>
          <t>年</t>
        </is>
      </c>
      <c r="C17" s="34">
        <f>假设!D19</f>
        <v/>
      </c>
      <c r="D17" s="34">
        <f>假设!E19</f>
        <v/>
      </c>
      <c r="E17" s="34">
        <f>假设!F19</f>
        <v/>
      </c>
      <c r="F17" s="13" t="inlineStr"/>
    </row>
    <row r="18">
      <c r="A18" s="11" t="inlineStr">
        <is>
          <t>计算</t>
        </is>
      </c>
      <c r="B18" s="12" t="n"/>
      <c r="C18" s="12" t="n"/>
      <c r="D18" s="12" t="n"/>
      <c r="E18" s="12" t="n"/>
      <c r="F18" s="12" t="n"/>
    </row>
    <row r="19">
      <c r="A19" s="13" t="inlineStr">
        <is>
          <t>有效替代工时</t>
        </is>
      </c>
      <c r="B19" s="13" t="inlineStr">
        <is>
          <t>小时/年</t>
        </is>
      </c>
      <c r="C19" s="18">
        <f>C7*C8*C9*C10</f>
        <v/>
      </c>
      <c r="D19" s="18">
        <f>D7*D8*D9*D10</f>
        <v/>
      </c>
      <c r="E19" s="18">
        <f>E7*E8*E9*E10</f>
        <v/>
      </c>
      <c r="F19" s="13" t="inlineStr">
        <is>
          <t>计划工时 × 可用率 × 速度 × 成功率</t>
        </is>
      </c>
    </row>
    <row r="20">
      <c r="A20" s="13" t="inlineStr">
        <is>
          <t>等效替代人力</t>
        </is>
      </c>
      <c r="B20" s="13" t="inlineStr">
        <is>
          <t>人·年</t>
        </is>
      </c>
      <c r="C20" s="24">
        <f>C19/C11</f>
        <v/>
      </c>
      <c r="D20" s="24">
        <f>D19/D11</f>
        <v/>
      </c>
      <c r="E20" s="24">
        <f>E19/E11</f>
        <v/>
      </c>
      <c r="F20" s="13" t="inlineStr">
        <is>
          <t>有效替代工时 ÷ 单人年工时</t>
        </is>
      </c>
    </row>
    <row r="21">
      <c r="A21" s="13" t="inlineStr">
        <is>
          <t>年节省人工成本</t>
        </is>
      </c>
      <c r="B21" s="13" t="inlineStr">
        <is>
          <t>万元</t>
        </is>
      </c>
      <c r="C21" s="15">
        <f>C20*C12</f>
        <v/>
      </c>
      <c r="D21" s="15">
        <f>D20*D12</f>
        <v/>
      </c>
      <c r="E21" s="15">
        <f>E20*E12</f>
        <v/>
      </c>
      <c r="F21" s="13" t="inlineStr"/>
    </row>
    <row r="22">
      <c r="A22" s="13" t="inlineStr">
        <is>
          <t>软件与维保费</t>
        </is>
      </c>
      <c r="B22" s="13" t="inlineStr">
        <is>
          <t>万元</t>
        </is>
      </c>
      <c r="C22" s="15">
        <f>C6*C13</f>
        <v/>
      </c>
      <c r="D22" s="15">
        <f>D6*D13</f>
        <v/>
      </c>
      <c r="E22" s="15">
        <f>E6*E13</f>
        <v/>
      </c>
      <c r="F22" s="13" t="inlineStr"/>
    </row>
    <row r="23">
      <c r="A23" s="13" t="inlineStr">
        <is>
          <t>监管工程师分摊</t>
        </is>
      </c>
      <c r="B23" s="13" t="inlineStr">
        <is>
          <t>万元</t>
        </is>
      </c>
      <c r="C23" s="15">
        <f>C14*C15</f>
        <v/>
      </c>
      <c r="D23" s="15">
        <f>D14*D15</f>
        <v/>
      </c>
      <c r="E23" s="15">
        <f>E14*E15</f>
        <v/>
      </c>
      <c r="F23" s="13" t="inlineStr"/>
    </row>
    <row r="24">
      <c r="A24" s="13" t="inlineStr">
        <is>
          <t>能耗</t>
        </is>
      </c>
      <c r="B24" s="13" t="inlineStr">
        <is>
          <t>万元</t>
        </is>
      </c>
      <c r="C24" s="15">
        <f>C7*C8*C16/10000</f>
        <v/>
      </c>
      <c r="D24" s="15">
        <f>D7*D8*D16/10000</f>
        <v/>
      </c>
      <c r="E24" s="15">
        <f>E7*E8*E16/10000</f>
        <v/>
      </c>
      <c r="F24" s="13" t="inlineStr"/>
    </row>
    <row r="25">
      <c r="A25" s="13" t="inlineStr">
        <is>
          <t>年新增运维合计</t>
        </is>
      </c>
      <c r="B25" s="13" t="inlineStr">
        <is>
          <t>万元</t>
        </is>
      </c>
      <c r="C25" s="15">
        <f>C22+C23+C24</f>
        <v/>
      </c>
      <c r="D25" s="15">
        <f>D22+D23+D24</f>
        <v/>
      </c>
      <c r="E25" s="15">
        <f>E22+E23+E24</f>
        <v/>
      </c>
      <c r="F25" s="13" t="inlineStr"/>
    </row>
    <row r="26">
      <c r="A26" s="35" t="inlineStr">
        <is>
          <t>年净节省</t>
        </is>
      </c>
      <c r="B26" s="13" t="inlineStr">
        <is>
          <t>万元</t>
        </is>
      </c>
      <c r="C26" s="36">
        <f>C21-C25</f>
        <v/>
      </c>
      <c r="D26" s="36">
        <f>D21-D25</f>
        <v/>
      </c>
      <c r="E26" s="36">
        <f>E21-E25</f>
        <v/>
      </c>
      <c r="F26" s="13" t="inlineStr"/>
    </row>
    <row r="27">
      <c r="A27" s="35" t="inlineStr">
        <is>
          <t>回本期</t>
        </is>
      </c>
      <c r="B27" s="13" t="inlineStr">
        <is>
          <t>年</t>
        </is>
      </c>
      <c r="C27" s="37">
        <f>IF(C26&lt;=0,"无法回本",C6/C26)</f>
        <v/>
      </c>
      <c r="D27" s="37">
        <f>IF(D26&lt;=0,"无法回本",D6/D26)</f>
        <v/>
      </c>
      <c r="E27" s="37">
        <f>IF(E26&lt;=0,"无法回本",E6/E26)</f>
        <v/>
      </c>
      <c r="F27" s="13" t="inlineStr">
        <is>
          <t>净节省 ≤ 0 时无法回本</t>
        </is>
      </c>
    </row>
    <row r="28">
      <c r="A28" s="13" t="inlineStr">
        <is>
          <t>达到目标回本期所需的相对速度</t>
        </is>
      </c>
      <c r="B28" s="13" t="inlineStr">
        <is>
          <t>比例</t>
        </is>
      </c>
      <c r="C28" s="20">
        <f>(C6/C17+C25)/C12*C11/(C7*C8*C10)</f>
        <v/>
      </c>
      <c r="D28" s="20">
        <f>(D6/D17+D25)/D12*D11/(D7*D8*D10)</f>
        <v/>
      </c>
      <c r="E28" s="20">
        <f>(E6/E17+E25)/E12*E11/(E7*E8*E10)</f>
        <v/>
      </c>
      <c r="F28" s="13" t="inlineStr">
        <is>
          <t>其余参数不变时；&gt;100% 表示需要超过人工速度</t>
        </is>
      </c>
    </row>
    <row r="30">
      <c r="A30" s="11" t="inlineStr">
        <is>
          <t>外部测算对照（口径不同，只作参照）</t>
        </is>
      </c>
      <c r="B30" s="12" t="n"/>
      <c r="C30" s="12" t="n"/>
      <c r="D30" s="12" t="n"/>
      <c r="E30" s="12" t="n"/>
      <c r="F30" s="12" t="n"/>
    </row>
    <row r="31">
      <c r="A31" s="38" t="inlineStr">
        <is>
          <t>伯恩斯坦：中国工厂搬运约 6.7 年（R-70）</t>
        </is>
      </c>
    </row>
    <row r="32">
      <c r="A32" s="38" t="inlineStr">
        <is>
          <t>乐聚兆丰自测 2–4 年，但董事长称最初未算采购成本（R-31、R-34）</t>
        </is>
      </c>
    </row>
    <row r="33">
      <c r="A33" s="38" t="inlineStr">
        <is>
          <t>常琳：约 2 年“拉平”，未含维保费（R-66）</t>
        </is>
      </c>
    </row>
    <row r="34">
      <c r="A34" s="38" t="inlineStr">
        <is>
          <t>GGII：汽车行业“年 ROI”0.8（口径不明）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5" t="inlineStr">
        <is>
          <t>需求情景：中国人形机器人六维力传感器（按情景开关）</t>
        </is>
      </c>
    </row>
    <row r="2">
      <c r="A2" s="7">
        <f>"当前情景："&amp;假设!$D$4</f>
        <v/>
      </c>
    </row>
    <row r="4">
      <c r="A4" s="10" t="inlineStr">
        <is>
          <t>项目</t>
        </is>
      </c>
      <c r="B4" s="10" t="inlineStr">
        <is>
          <t>单位</t>
        </is>
      </c>
      <c r="C4" s="10" t="inlineStr">
        <is>
          <t>2025A</t>
        </is>
      </c>
      <c r="D4" s="10" t="inlineStr">
        <is>
          <t>2026E</t>
        </is>
      </c>
      <c r="E4" s="10" t="inlineStr">
        <is>
          <t>2027E</t>
        </is>
      </c>
      <c r="F4" s="10" t="inlineStr">
        <is>
          <t>2028E</t>
        </is>
      </c>
      <c r="G4" s="10" t="inlineStr">
        <is>
          <t>2029E</t>
        </is>
      </c>
      <c r="H4" s="10" t="inlineStr">
        <is>
          <t>2030E</t>
        </is>
      </c>
      <c r="I4" s="10" t="inlineStr">
        <is>
          <t>说明</t>
        </is>
      </c>
    </row>
    <row r="5">
      <c r="A5" s="13" t="inlineStr">
        <is>
          <t>中国人形整机出货</t>
        </is>
      </c>
      <c r="B5" s="13" t="inlineStr">
        <is>
          <t>万台</t>
        </is>
      </c>
      <c r="C5" s="34">
        <f>假设!$G$21</f>
        <v/>
      </c>
      <c r="D5" s="34">
        <f>假设!$G$22</f>
        <v/>
      </c>
      <c r="E5" s="24">
        <f>$D5*($H5/$D5)^((2-1)/4)</f>
        <v/>
      </c>
      <c r="F5" s="24">
        <f>$D5*($H5/$D5)^((3-1)/4)</f>
        <v/>
      </c>
      <c r="G5" s="24">
        <f>$D5*($H5/$D5)^((4-1)/4)</f>
        <v/>
      </c>
      <c r="H5" s="34">
        <f>假设!$G$23</f>
        <v/>
      </c>
      <c r="I5" s="13" t="inlineStr">
        <is>
          <t>2027–2029 按 2026→2030 年复合增速插值</t>
        </is>
      </c>
    </row>
    <row r="6">
      <c r="A6" s="13" t="inlineStr">
        <is>
          <t>六维力搭载率（按出货台数）</t>
        </is>
      </c>
      <c r="B6" s="13" t="inlineStr">
        <is>
          <t>比例</t>
        </is>
      </c>
      <c r="C6" s="33">
        <f>假设!$G$24</f>
        <v/>
      </c>
      <c r="D6" s="33">
        <f>假设!$G$25</f>
        <v/>
      </c>
      <c r="E6" s="20">
        <f>$D6+($H6-$D6)*1/4</f>
        <v/>
      </c>
      <c r="F6" s="20">
        <f>$D6+($H6-$D6)*2/4</f>
        <v/>
      </c>
      <c r="G6" s="20">
        <f>$D6+($H6-$D6)*3/4</f>
        <v/>
      </c>
      <c r="H6" s="33">
        <f>假设!$G$26</f>
        <v/>
      </c>
      <c r="I6" s="13" t="inlineStr">
        <is>
          <t>2027–2029 线性插值</t>
        </is>
      </c>
    </row>
    <row r="7">
      <c r="A7" s="13" t="inlineStr">
        <is>
          <t>单机用量（配置机型）</t>
        </is>
      </c>
      <c r="B7" s="13" t="inlineStr">
        <is>
          <t>颗/台</t>
        </is>
      </c>
      <c r="C7" s="34">
        <f>假设!$G$27</f>
        <v/>
      </c>
      <c r="D7" s="34">
        <f>假设!$G$27</f>
        <v/>
      </c>
      <c r="E7" s="34">
        <f>假设!$G$27</f>
        <v/>
      </c>
      <c r="F7" s="34">
        <f>假设!$G$27</f>
        <v/>
      </c>
      <c r="G7" s="34">
        <f>假设!$G$27</f>
        <v/>
      </c>
      <c r="H7" s="34">
        <f>假设!$G$27</f>
        <v/>
      </c>
      <c r="I7" s="13" t="inlineStr"/>
    </row>
    <row r="8">
      <c r="A8" s="13" t="inlineStr">
        <is>
          <t>有效颗/台</t>
        </is>
      </c>
      <c r="B8" s="13" t="inlineStr">
        <is>
          <t>颗/台</t>
        </is>
      </c>
      <c r="C8" s="24">
        <f>C6*C7</f>
        <v/>
      </c>
      <c r="D8" s="24">
        <f>D6*D7</f>
        <v/>
      </c>
      <c r="E8" s="24">
        <f>E6*E7</f>
        <v/>
      </c>
      <c r="F8" s="24">
        <f>F6*F7</f>
        <v/>
      </c>
      <c r="G8" s="24">
        <f>G6*G7</f>
        <v/>
      </c>
      <c r="H8" s="24">
        <f>H6*H7</f>
        <v/>
      </c>
      <c r="I8" s="13" t="inlineStr">
        <is>
          <t>搭载率 × 单机用量</t>
        </is>
      </c>
    </row>
    <row r="9">
      <c r="A9" s="35" t="inlineStr">
        <is>
          <t>六维力需求</t>
        </is>
      </c>
      <c r="B9" s="13" t="inlineStr">
        <is>
          <t>万颗</t>
        </is>
      </c>
      <c r="C9" s="37">
        <f>C5*C8</f>
        <v/>
      </c>
      <c r="D9" s="37">
        <f>D5*D8</f>
        <v/>
      </c>
      <c r="E9" s="37">
        <f>E5*E8</f>
        <v/>
      </c>
      <c r="F9" s="37">
        <f>F5*F8</f>
        <v/>
      </c>
      <c r="G9" s="37">
        <f>G5*G8</f>
        <v/>
      </c>
      <c r="H9" s="37">
        <f>H5*H8</f>
        <v/>
      </c>
      <c r="I9" s="13" t="inlineStr">
        <is>
          <t>整机出货 × 有效颗/台</t>
        </is>
      </c>
    </row>
    <row r="10">
      <c r="A10" s="13" t="inlineStr">
        <is>
          <t>单价</t>
        </is>
      </c>
      <c r="B10" s="13" t="inlineStr">
        <is>
          <t>元/颗</t>
        </is>
      </c>
      <c r="C10" s="39">
        <f>假设!$G$28</f>
        <v/>
      </c>
      <c r="D10" s="28">
        <f>C10*(1-假设!$G$29)</f>
        <v/>
      </c>
      <c r="E10" s="28">
        <f>D10*(1-假设!$G$29)</f>
        <v/>
      </c>
      <c r="F10" s="28">
        <f>E10*(1-假设!$G$30)</f>
        <v/>
      </c>
      <c r="G10" s="28">
        <f>F10*(1-假设!$G$30)</f>
        <v/>
      </c>
      <c r="H10" s="28">
        <f>G10*(1-假设!$G$30)</f>
        <v/>
      </c>
      <c r="I10" s="13" t="inlineStr">
        <is>
          <t>2026–2027 用降幅 1，2028–2030 用降幅 2</t>
        </is>
      </c>
    </row>
    <row r="11">
      <c r="A11" s="35" t="inlineStr">
        <is>
          <t>市场规模</t>
        </is>
      </c>
      <c r="B11" s="13" t="inlineStr">
        <is>
          <t>亿元</t>
        </is>
      </c>
      <c r="C11" s="36">
        <f>C9*C10/10000</f>
        <v/>
      </c>
      <c r="D11" s="36">
        <f>D9*D10/10000</f>
        <v/>
      </c>
      <c r="E11" s="36">
        <f>E9*E10/10000</f>
        <v/>
      </c>
      <c r="F11" s="36">
        <f>F9*F10/10000</f>
        <v/>
      </c>
      <c r="G11" s="36">
        <f>G9*G10/10000</f>
        <v/>
      </c>
      <c r="H11" s="36">
        <f>H9*H10/10000</f>
        <v/>
      </c>
      <c r="I11" s="13" t="inlineStr">
        <is>
          <t>需求（万颗）× 单价 ÷ 10,000</t>
        </is>
      </c>
    </row>
    <row r="12">
      <c r="A12" s="13" t="inlineStr">
        <is>
          <t>市场规模同比</t>
        </is>
      </c>
      <c r="B12" s="13" t="inlineStr">
        <is>
          <t>比例</t>
        </is>
      </c>
      <c r="C12" s="20" t="n"/>
      <c r="D12" s="20">
        <f>IF(C11=0,0,D11/C11-1)</f>
        <v/>
      </c>
      <c r="E12" s="20">
        <f>IF(D11=0,0,E11/D11-1)</f>
        <v/>
      </c>
      <c r="F12" s="20">
        <f>IF(E11=0,0,F11/E11-1)</f>
        <v/>
      </c>
      <c r="G12" s="20">
        <f>IF(F11=0,0,G11/F11-1)</f>
        <v/>
      </c>
      <c r="H12" s="20">
        <f>IF(G11=0,0,H11/G11-1)</f>
        <v/>
      </c>
      <c r="I12" s="13" t="inlineStr"/>
    </row>
    <row r="14">
      <c r="A14" s="11" t="inlineStr">
        <is>
          <t>2025 年校准：模型 vs 第三方实际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0" t="inlineStr">
        <is>
          <t>来源</t>
        </is>
      </c>
      <c r="B15" s="10" t="inlineStr">
        <is>
          <t>单位</t>
        </is>
      </c>
      <c r="C15" s="10" t="inlineStr">
        <is>
          <t>需求</t>
        </is>
      </c>
      <c r="D15" s="10" t="inlineStr">
        <is>
          <t>市场规模（亿元）</t>
        </is>
      </c>
      <c r="E15" s="10" t="inlineStr">
        <is>
          <t>隐含均价（元）</t>
        </is>
      </c>
      <c r="F15" s="10" t="inlineStr"/>
      <c r="G15" s="10" t="inlineStr"/>
      <c r="H15" s="10" t="inlineStr"/>
      <c r="I15" s="10" t="inlineStr">
        <is>
          <t>说明</t>
        </is>
      </c>
    </row>
    <row r="16">
      <c r="A16" s="38" t="inlineStr">
        <is>
          <t>本模型（当前情景）</t>
        </is>
      </c>
      <c r="B16" s="38" t="inlineStr">
        <is>
          <t>万颗</t>
        </is>
      </c>
      <c r="C16" s="40">
        <f>C9</f>
        <v/>
      </c>
      <c r="D16" s="40">
        <f>C11</f>
        <v/>
      </c>
      <c r="E16" s="41">
        <f>C10</f>
        <v/>
      </c>
      <c r="I16" s="38" t="inlineStr">
        <is>
          <t>—</t>
        </is>
      </c>
    </row>
    <row r="17">
      <c r="A17" s="38" t="inlineStr">
        <is>
          <t>GGII（2025-11，年内预估）</t>
        </is>
      </c>
      <c r="B17" s="38" t="inlineStr">
        <is>
          <t>万颗</t>
        </is>
      </c>
      <c r="C17" s="42" t="n">
        <v>1.23</v>
      </c>
      <c r="D17" s="42" t="n">
        <v>2.46</v>
      </c>
      <c r="E17" s="41">
        <f>D17/C17*10000</f>
        <v/>
      </c>
      <c r="I17" s="38" t="inlineStr">
        <is>
          <t>D-25 / research：1.23 万台、2.46 亿元</t>
        </is>
      </c>
    </row>
    <row r="18">
      <c r="A18" s="38" t="inlineStr">
        <is>
          <t>赛迪 × 中国电子报（2026-08，年度回顾）</t>
        </is>
      </c>
      <c r="B18" s="38" t="inlineStr">
        <is>
          <t>万颗</t>
        </is>
      </c>
      <c r="C18" s="42" t="n">
        <v>1.32</v>
      </c>
      <c r="D18" s="42" t="n">
        <v>3.3</v>
      </c>
      <c r="E18" s="41">
        <f>D18/C18*10000</f>
        <v/>
      </c>
      <c r="I18" s="38" t="inlineStr">
        <is>
          <t>D-26 / D-64：1.32 万颗、3.3 亿元</t>
        </is>
      </c>
    </row>
    <row r="20">
      <c r="A20" s="11" t="inlineStr">
        <is>
          <t>2030E 三情景对比（不受开关影响）与第三方预测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0" t="inlineStr">
        <is>
          <t>项目</t>
        </is>
      </c>
      <c r="B21" s="10" t="inlineStr">
        <is>
          <t>单位</t>
        </is>
      </c>
      <c r="C21" s="10" t="inlineStr">
        <is>
          <t>悲观</t>
        </is>
      </c>
      <c r="D21" s="10" t="inlineStr">
        <is>
          <t>基准</t>
        </is>
      </c>
      <c r="E21" s="10" t="inlineStr">
        <is>
          <t>乐观</t>
        </is>
      </c>
      <c r="F21" s="10" t="inlineStr">
        <is>
          <t>GGII</t>
        </is>
      </c>
      <c r="G21" s="10" t="inlineStr">
        <is>
          <t>赛迪</t>
        </is>
      </c>
      <c r="H21" s="10" t="inlineStr"/>
      <c r="I21" s="10" t="inlineStr">
        <is>
          <t>说明</t>
        </is>
      </c>
    </row>
    <row r="22">
      <c r="A22" s="13" t="inlineStr">
        <is>
          <t>整机出货</t>
        </is>
      </c>
      <c r="B22" s="13" t="inlineStr">
        <is>
          <t>万台</t>
        </is>
      </c>
      <c r="C22" s="24">
        <f>假设!D23</f>
        <v/>
      </c>
      <c r="D22" s="24">
        <f>假设!E23</f>
        <v/>
      </c>
      <c r="E22" s="24">
        <f>假设!F23</f>
        <v/>
      </c>
      <c r="F22" s="43" t="n"/>
      <c r="G22" s="26" t="n">
        <v>40</v>
      </c>
      <c r="H22" s="43" t="n"/>
      <c r="I22" s="13" t="inlineStr">
        <is>
          <t>赛迪 40 万台只见于解读稿</t>
        </is>
      </c>
    </row>
    <row r="23">
      <c r="A23" s="13" t="inlineStr">
        <is>
          <t>有效颗/台</t>
        </is>
      </c>
      <c r="B23" s="13" t="inlineStr">
        <is>
          <t>颗/台</t>
        </is>
      </c>
      <c r="C23" s="24">
        <f>假设!D26*假设!D27</f>
        <v/>
      </c>
      <c r="D23" s="24">
        <f>假设!E26*假设!E27</f>
        <v/>
      </c>
      <c r="E23" s="24">
        <f>假设!F26*假设!F27</f>
        <v/>
      </c>
      <c r="F23" s="43" t="n"/>
      <c r="G23" s="43" t="n"/>
      <c r="H23" s="43" t="n"/>
      <c r="I23" s="13" t="inlineStr"/>
    </row>
    <row r="24">
      <c r="A24" s="13" t="inlineStr">
        <is>
          <t>需求</t>
        </is>
      </c>
      <c r="B24" s="13" t="inlineStr">
        <is>
          <t>万颗</t>
        </is>
      </c>
      <c r="C24" s="24">
        <f>C22*C23</f>
        <v/>
      </c>
      <c r="D24" s="24">
        <f>D22*D23</f>
        <v/>
      </c>
      <c r="E24" s="24">
        <f>E22*E23</f>
        <v/>
      </c>
      <c r="F24" s="26" t="n">
        <v>46</v>
      </c>
      <c r="G24" s="26" t="n">
        <v>120</v>
      </c>
      <c r="H24" s="43" t="n"/>
      <c r="I24" s="13" t="inlineStr">
        <is>
          <t>GGII 46 万台（颗）、赛迪 120 万颗</t>
        </is>
      </c>
    </row>
    <row r="25">
      <c r="A25" s="13" t="inlineStr">
        <is>
          <t>单价</t>
        </is>
      </c>
      <c r="B25" s="13" t="inlineStr">
        <is>
          <t>元/颗</t>
        </is>
      </c>
      <c r="C25" s="28">
        <f>假设!D28*(1-假设!D29)^2*(1-假设!D30)^3</f>
        <v/>
      </c>
      <c r="D25" s="28">
        <f>假设!E28*(1-假设!E29)^2*(1-假设!E30)^3</f>
        <v/>
      </c>
      <c r="E25" s="28">
        <f>假设!F28*(1-假设!F29)^2*(1-假设!F30)^3</f>
        <v/>
      </c>
      <c r="F25" s="27" t="n">
        <v>3900</v>
      </c>
      <c r="G25" s="27" t="n">
        <v>5000</v>
      </c>
      <c r="H25" s="43" t="n"/>
      <c r="I25" s="13" t="inlineStr">
        <is>
          <t>第三方为隐含均价</t>
        </is>
      </c>
    </row>
    <row r="26">
      <c r="A26" s="13" t="inlineStr">
        <is>
          <t>市场规模</t>
        </is>
      </c>
      <c r="B26" s="13" t="inlineStr">
        <is>
          <t>亿元</t>
        </is>
      </c>
      <c r="C26" s="15">
        <f>C24*C25/10000</f>
        <v/>
      </c>
      <c r="D26" s="15">
        <f>D24*D25/10000</f>
        <v/>
      </c>
      <c r="E26" s="15">
        <f>E24*E25/10000</f>
        <v/>
      </c>
      <c r="F26" s="14" t="n">
        <v>18</v>
      </c>
      <c r="G26" s="14" t="n">
        <v>60</v>
      </c>
      <c r="H26" s="43" t="n"/>
      <c r="I26" s="13" t="inlineStr">
        <is>
          <t>D-61、D-64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5" t="inlineStr">
        <is>
          <t>收入桥：行业需求 → 公司相关业务收入与利润（按情景开关）</t>
        </is>
      </c>
    </row>
    <row r="2">
      <c r="A2" s="6" t="inlineStr">
        <is>
          <t>相关业务收入 = 中国人形出货 × 采用率 × 单机用量 × 单价 × 公司份额 = 市场规模 × 公司份额</t>
        </is>
      </c>
    </row>
    <row r="4">
      <c r="A4" s="10" t="inlineStr">
        <is>
          <t>项目</t>
        </is>
      </c>
      <c r="B4" s="10" t="inlineStr">
        <is>
          <t>单位</t>
        </is>
      </c>
      <c r="C4" s="10" t="inlineStr">
        <is>
          <t>2026E</t>
        </is>
      </c>
      <c r="D4" s="10" t="inlineStr">
        <is>
          <t>2027E</t>
        </is>
      </c>
      <c r="E4" s="10" t="inlineStr">
        <is>
          <t>2028E</t>
        </is>
      </c>
      <c r="F4" s="10" t="inlineStr">
        <is>
          <t>2029E</t>
        </is>
      </c>
      <c r="G4" s="10" t="inlineStr">
        <is>
          <t>2030E</t>
        </is>
      </c>
      <c r="H4" s="10" t="inlineStr">
        <is>
          <t>说明</t>
        </is>
      </c>
    </row>
    <row r="5">
      <c r="A5" s="11" t="inlineStr">
        <is>
          <t>行业</t>
        </is>
      </c>
      <c r="B5" s="12" t="n"/>
      <c r="C5" s="12" t="n"/>
      <c r="D5" s="12" t="n"/>
      <c r="E5" s="12" t="n"/>
      <c r="F5" s="12" t="n"/>
      <c r="G5" s="12" t="n"/>
      <c r="H5" s="12" t="n"/>
    </row>
    <row r="6">
      <c r="A6" s="38" t="inlineStr">
        <is>
          <t>中国人形六维力市场规模</t>
        </is>
      </c>
      <c r="B6" s="38" t="inlineStr">
        <is>
          <t>亿元</t>
        </is>
      </c>
      <c r="C6" s="44">
        <f>需求情景!D11</f>
        <v/>
      </c>
      <c r="D6" s="44">
        <f>需求情景!E11</f>
        <v/>
      </c>
      <c r="E6" s="44">
        <f>需求情景!F11</f>
        <v/>
      </c>
      <c r="F6" s="44">
        <f>需求情景!G11</f>
        <v/>
      </c>
      <c r="G6" s="44">
        <f>需求情景!H11</f>
        <v/>
      </c>
    </row>
    <row r="8">
      <c r="A8" s="11" t="inlineStr">
        <is>
          <t>柯力传感（603662）</t>
        </is>
      </c>
      <c r="B8" s="12" t="n"/>
      <c r="C8" s="12" t="n"/>
      <c r="D8" s="12" t="n"/>
      <c r="E8" s="12" t="n"/>
      <c r="F8" s="12" t="n"/>
      <c r="G8" s="12" t="n"/>
      <c r="H8" s="12" t="n"/>
    </row>
    <row r="9">
      <c r="A9" s="13" t="inlineStr">
        <is>
          <t>份额</t>
        </is>
      </c>
      <c r="B9" s="13" t="inlineStr">
        <is>
          <t>比例</t>
        </is>
      </c>
      <c r="C9" s="20">
        <f>假设!$G$35+(假设!$G$36-假设!$G$35)*0/4</f>
        <v/>
      </c>
      <c r="D9" s="20">
        <f>假设!$G$35+(假设!$G$36-假设!$G$35)*1/4</f>
        <v/>
      </c>
      <c r="E9" s="20">
        <f>假设!$G$35+(假设!$G$36-假设!$G$35)*2/4</f>
        <v/>
      </c>
      <c r="F9" s="20">
        <f>假设!$G$35+(假设!$G$36-假设!$G$35)*3/4</f>
        <v/>
      </c>
      <c r="G9" s="20">
        <f>假设!$G$35+(假设!$G$36-假设!$G$35)*4/4</f>
        <v/>
      </c>
      <c r="H9" s="13" t="inlineStr">
        <is>
          <t>2026→2030 线性</t>
        </is>
      </c>
    </row>
    <row r="10">
      <c r="A10" s="35" t="inlineStr">
        <is>
          <t>相关业务收入</t>
        </is>
      </c>
      <c r="B10" s="13" t="inlineStr">
        <is>
          <t>亿元</t>
        </is>
      </c>
      <c r="C10" s="36">
        <f>C$6*C9</f>
        <v/>
      </c>
      <c r="D10" s="36">
        <f>D$6*D9</f>
        <v/>
      </c>
      <c r="E10" s="36">
        <f>E$6*E9</f>
        <v/>
      </c>
      <c r="F10" s="36">
        <f>F$6*F9</f>
        <v/>
      </c>
      <c r="G10" s="36">
        <f>G$6*G9</f>
        <v/>
      </c>
      <c r="H10" s="13" t="inlineStr"/>
    </row>
    <row r="11">
      <c r="A11" s="13" t="inlineStr">
        <is>
          <t>毛利</t>
        </is>
      </c>
      <c r="B11" s="13" t="inlineStr">
        <is>
          <t>亿元</t>
        </is>
      </c>
      <c r="C11" s="15">
        <f>C10*假设!$G$32</f>
        <v/>
      </c>
      <c r="D11" s="15">
        <f>D10*假设!$G$32</f>
        <v/>
      </c>
      <c r="E11" s="15">
        <f>E10*假设!$G$32</f>
        <v/>
      </c>
      <c r="F11" s="15">
        <f>F10*假设!$G$32</f>
        <v/>
      </c>
      <c r="G11" s="15">
        <f>G10*假设!$G$32</f>
        <v/>
      </c>
      <c r="H11" s="13" t="inlineStr"/>
    </row>
    <row r="12">
      <c r="A12" s="13" t="inlineStr">
        <is>
          <t>增量期间费用</t>
        </is>
      </c>
      <c r="B12" s="13" t="inlineStr">
        <is>
          <t>亿元</t>
        </is>
      </c>
      <c r="C12" s="15">
        <f>C10*假设!$G$33</f>
        <v/>
      </c>
      <c r="D12" s="15">
        <f>D10*假设!$G$33</f>
        <v/>
      </c>
      <c r="E12" s="15">
        <f>E10*假设!$G$33</f>
        <v/>
      </c>
      <c r="F12" s="15">
        <f>F10*假设!$G$33</f>
        <v/>
      </c>
      <c r="G12" s="15">
        <f>G10*假设!$G$33</f>
        <v/>
      </c>
      <c r="H12" s="13" t="inlineStr"/>
    </row>
    <row r="13">
      <c r="A13" s="35" t="inlineStr">
        <is>
          <t>相关业务净利润</t>
        </is>
      </c>
      <c r="B13" s="13" t="inlineStr">
        <is>
          <t>亿元</t>
        </is>
      </c>
      <c r="C13" s="36">
        <f>(C11-C12)*(1-假设!$G$34)</f>
        <v/>
      </c>
      <c r="D13" s="36">
        <f>(D11-D12)*(1-假设!$G$34)</f>
        <v/>
      </c>
      <c r="E13" s="36">
        <f>(E11-E12)*(1-假设!$G$34)</f>
        <v/>
      </c>
      <c r="F13" s="36">
        <f>(F11-F12)*(1-假设!$G$34)</f>
        <v/>
      </c>
      <c r="G13" s="36">
        <f>(G11-G12)*(1-假设!$G$34)</f>
        <v/>
      </c>
      <c r="H13" s="13" t="inlineStr"/>
    </row>
    <row r="14">
      <c r="A14" s="13" t="inlineStr">
        <is>
          <t>相关业务净利润 ÷ 2025A 扣非净利润</t>
        </is>
      </c>
      <c r="B14" s="13" t="inlineStr">
        <is>
          <t>比例</t>
        </is>
      </c>
      <c r="C14" s="20">
        <f>IF(假设!$G$43=0,0,C13/假设!$G$43)</f>
        <v/>
      </c>
      <c r="D14" s="20">
        <f>IF(假设!$G$43=0,0,D13/假设!$G$43)</f>
        <v/>
      </c>
      <c r="E14" s="20">
        <f>IF(假设!$G$43=0,0,E13/假设!$G$43)</f>
        <v/>
      </c>
      <c r="F14" s="20">
        <f>IF(假设!$G$43=0,0,F13/假设!$G$43)</f>
        <v/>
      </c>
      <c r="G14" s="20">
        <f>IF(假设!$G$43=0,0,G13/假设!$G$43)</f>
        <v/>
      </c>
      <c r="H14" s="13" t="inlineStr">
        <is>
          <t>增量利润相当于历史利润的多少，不是占未来总利润的比例</t>
        </is>
      </c>
    </row>
    <row r="15">
      <c r="A15" s="13" t="inlineStr">
        <is>
          <t>新业务占 2030E 总利润</t>
        </is>
      </c>
      <c r="B15" s="13" t="inlineStr">
        <is>
          <t>比例</t>
        </is>
      </c>
      <c r="C15" s="20">
        <f>IF((C13+假设!$G$43)=0,0,C13/(C13+假设!$G$43))</f>
        <v/>
      </c>
      <c r="D15" s="20">
        <f>IF((D13+假设!$G$43)=0,0,D13/(D13+假设!$G$43))</f>
        <v/>
      </c>
      <c r="E15" s="20">
        <f>IF((E13+假设!$G$43)=0,0,E13/(E13+假设!$G$43))</f>
        <v/>
      </c>
      <c r="F15" s="20">
        <f>IF((F13+假设!$G$43)=0,0,F13/(F13+假设!$G$43))</f>
        <v/>
      </c>
      <c r="G15" s="20">
        <f>IF((G13+假设!$G$43)=0,0,G13/(G13+假设!$G$43))</f>
        <v/>
      </c>
      <c r="H15" s="13" t="inlineStr">
        <is>
          <t>假设原有业务利润保持 2025A 扣非水平</t>
        </is>
      </c>
    </row>
    <row r="16">
      <c r="A16" s="11" t="inlineStr">
        <is>
          <t>安培龙（301413）</t>
        </is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inlineStr">
        <is>
          <t>份额</t>
        </is>
      </c>
      <c r="B17" s="13" t="inlineStr">
        <is>
          <t>比例</t>
        </is>
      </c>
      <c r="C17" s="20">
        <f>假设!$G$37+(假设!$G$38-假设!$G$37)*0/4</f>
        <v/>
      </c>
      <c r="D17" s="20">
        <f>假设!$G$37+(假设!$G$38-假设!$G$37)*1/4</f>
        <v/>
      </c>
      <c r="E17" s="20">
        <f>假设!$G$37+(假设!$G$38-假设!$G$37)*2/4</f>
        <v/>
      </c>
      <c r="F17" s="20">
        <f>假设!$G$37+(假设!$G$38-假设!$G$37)*3/4</f>
        <v/>
      </c>
      <c r="G17" s="20">
        <f>假设!$G$37+(假设!$G$38-假设!$G$37)*4/4</f>
        <v/>
      </c>
      <c r="H17" s="13" t="inlineStr">
        <is>
          <t>2026→2030 线性</t>
        </is>
      </c>
    </row>
    <row r="18">
      <c r="A18" s="35" t="inlineStr">
        <is>
          <t>相关业务收入</t>
        </is>
      </c>
      <c r="B18" s="13" t="inlineStr">
        <is>
          <t>亿元</t>
        </is>
      </c>
      <c r="C18" s="36">
        <f>C$6*C17</f>
        <v/>
      </c>
      <c r="D18" s="36">
        <f>D$6*D17</f>
        <v/>
      </c>
      <c r="E18" s="36">
        <f>E$6*E17</f>
        <v/>
      </c>
      <c r="F18" s="36">
        <f>F$6*F17</f>
        <v/>
      </c>
      <c r="G18" s="36">
        <f>G$6*G17</f>
        <v/>
      </c>
      <c r="H18" s="13" t="inlineStr"/>
    </row>
    <row r="19">
      <c r="A19" s="13" t="inlineStr">
        <is>
          <t>毛利</t>
        </is>
      </c>
      <c r="B19" s="13" t="inlineStr">
        <is>
          <t>亿元</t>
        </is>
      </c>
      <c r="C19" s="15">
        <f>C18*假设!$G$32</f>
        <v/>
      </c>
      <c r="D19" s="15">
        <f>D18*假设!$G$32</f>
        <v/>
      </c>
      <c r="E19" s="15">
        <f>E18*假设!$G$32</f>
        <v/>
      </c>
      <c r="F19" s="15">
        <f>F18*假设!$G$32</f>
        <v/>
      </c>
      <c r="G19" s="15">
        <f>G18*假设!$G$32</f>
        <v/>
      </c>
      <c r="H19" s="13" t="inlineStr"/>
    </row>
    <row r="20">
      <c r="A20" s="13" t="inlineStr">
        <is>
          <t>增量期间费用</t>
        </is>
      </c>
      <c r="B20" s="13" t="inlineStr">
        <is>
          <t>亿元</t>
        </is>
      </c>
      <c r="C20" s="15">
        <f>C18*假设!$G$33</f>
        <v/>
      </c>
      <c r="D20" s="15">
        <f>D18*假设!$G$33</f>
        <v/>
      </c>
      <c r="E20" s="15">
        <f>E18*假设!$G$33</f>
        <v/>
      </c>
      <c r="F20" s="15">
        <f>F18*假设!$G$33</f>
        <v/>
      </c>
      <c r="G20" s="15">
        <f>G18*假设!$G$33</f>
        <v/>
      </c>
      <c r="H20" s="13" t="inlineStr"/>
    </row>
    <row r="21">
      <c r="A21" s="35" t="inlineStr">
        <is>
          <t>相关业务净利润</t>
        </is>
      </c>
      <c r="B21" s="13" t="inlineStr">
        <is>
          <t>亿元</t>
        </is>
      </c>
      <c r="C21" s="36">
        <f>(C19-C20)*(1-假设!$G$34)</f>
        <v/>
      </c>
      <c r="D21" s="36">
        <f>(D19-D20)*(1-假设!$G$34)</f>
        <v/>
      </c>
      <c r="E21" s="36">
        <f>(E19-E20)*(1-假设!$G$34)</f>
        <v/>
      </c>
      <c r="F21" s="36">
        <f>(F19-F20)*(1-假设!$G$34)</f>
        <v/>
      </c>
      <c r="G21" s="36">
        <f>(G19-G20)*(1-假设!$G$34)</f>
        <v/>
      </c>
      <c r="H21" s="13" t="inlineStr"/>
    </row>
    <row r="22">
      <c r="A22" s="13" t="inlineStr">
        <is>
          <t>相关业务净利润 ÷ 2025A 扣非净利润</t>
        </is>
      </c>
      <c r="B22" s="13" t="inlineStr">
        <is>
          <t>比例</t>
        </is>
      </c>
      <c r="C22" s="20">
        <f>IF(假设!$G$45=0,0,C21/假设!$G$45)</f>
        <v/>
      </c>
      <c r="D22" s="20">
        <f>IF(假设!$G$45=0,0,D21/假设!$G$45)</f>
        <v/>
      </c>
      <c r="E22" s="20">
        <f>IF(假设!$G$45=0,0,E21/假设!$G$45)</f>
        <v/>
      </c>
      <c r="F22" s="20">
        <f>IF(假设!$G$45=0,0,F21/假设!$G$45)</f>
        <v/>
      </c>
      <c r="G22" s="20">
        <f>IF(假设!$G$45=0,0,G21/假设!$G$45)</f>
        <v/>
      </c>
      <c r="H22" s="13" t="inlineStr">
        <is>
          <t>增量利润相当于历史利润的多少，不是占未来总利润的比例</t>
        </is>
      </c>
    </row>
    <row r="23">
      <c r="A23" s="13" t="inlineStr">
        <is>
          <t>新业务占 2030E 总利润</t>
        </is>
      </c>
      <c r="B23" s="13" t="inlineStr">
        <is>
          <t>比例</t>
        </is>
      </c>
      <c r="C23" s="20">
        <f>IF((C21+假设!$G$45)=0,0,C21/(C21+假设!$G$45))</f>
        <v/>
      </c>
      <c r="D23" s="20">
        <f>IF((D21+假设!$G$45)=0,0,D21/(D21+假设!$G$45))</f>
        <v/>
      </c>
      <c r="E23" s="20">
        <f>IF((E21+假设!$G$45)=0,0,E21/(E21+假设!$G$45))</f>
        <v/>
      </c>
      <c r="F23" s="20">
        <f>IF((F21+假设!$G$45)=0,0,F21/(F21+假设!$G$45))</f>
        <v/>
      </c>
      <c r="G23" s="20">
        <f>IF((G21+假设!$G$45)=0,0,G21/(G21+假设!$G$45))</f>
        <v/>
      </c>
      <c r="H23" s="13" t="inlineStr">
        <is>
          <t>假设原有业务利润保持 2025A 扣非水平</t>
        </is>
      </c>
    </row>
    <row r="24">
      <c r="A24" s="11" t="inlineStr">
        <is>
          <t>东华测试（300354）</t>
        </is>
      </c>
      <c r="B24" s="12" t="n"/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份额</t>
        </is>
      </c>
      <c r="B25" s="13" t="inlineStr">
        <is>
          <t>比例</t>
        </is>
      </c>
      <c r="C25" s="20">
        <f>假设!$G$39+(假设!$G$40-假设!$G$39)*0/4</f>
        <v/>
      </c>
      <c r="D25" s="20">
        <f>假设!$G$39+(假设!$G$40-假设!$G$39)*1/4</f>
        <v/>
      </c>
      <c r="E25" s="20">
        <f>假设!$G$39+(假设!$G$40-假设!$G$39)*2/4</f>
        <v/>
      </c>
      <c r="F25" s="20">
        <f>假设!$G$39+(假设!$G$40-假设!$G$39)*3/4</f>
        <v/>
      </c>
      <c r="G25" s="20">
        <f>假设!$G$39+(假设!$G$40-假设!$G$39)*4/4</f>
        <v/>
      </c>
      <c r="H25" s="13" t="inlineStr">
        <is>
          <t>2026→2030 线性</t>
        </is>
      </c>
    </row>
    <row r="26">
      <c r="A26" s="35" t="inlineStr">
        <is>
          <t>相关业务收入</t>
        </is>
      </c>
      <c r="B26" s="13" t="inlineStr">
        <is>
          <t>亿元</t>
        </is>
      </c>
      <c r="C26" s="36">
        <f>C$6*C25</f>
        <v/>
      </c>
      <c r="D26" s="36">
        <f>D$6*D25</f>
        <v/>
      </c>
      <c r="E26" s="36">
        <f>E$6*E25</f>
        <v/>
      </c>
      <c r="F26" s="36">
        <f>F$6*F25</f>
        <v/>
      </c>
      <c r="G26" s="36">
        <f>G$6*G25</f>
        <v/>
      </c>
      <c r="H26" s="13" t="inlineStr"/>
    </row>
    <row r="27">
      <c r="A27" s="13" t="inlineStr">
        <is>
          <t>毛利</t>
        </is>
      </c>
      <c r="B27" s="13" t="inlineStr">
        <is>
          <t>亿元</t>
        </is>
      </c>
      <c r="C27" s="15">
        <f>C26*假设!$G$32</f>
        <v/>
      </c>
      <c r="D27" s="15">
        <f>D26*假设!$G$32</f>
        <v/>
      </c>
      <c r="E27" s="15">
        <f>E26*假设!$G$32</f>
        <v/>
      </c>
      <c r="F27" s="15">
        <f>F26*假设!$G$32</f>
        <v/>
      </c>
      <c r="G27" s="15">
        <f>G26*假设!$G$32</f>
        <v/>
      </c>
      <c r="H27" s="13" t="inlineStr"/>
    </row>
    <row r="28">
      <c r="A28" s="13" t="inlineStr">
        <is>
          <t>增量期间费用</t>
        </is>
      </c>
      <c r="B28" s="13" t="inlineStr">
        <is>
          <t>亿元</t>
        </is>
      </c>
      <c r="C28" s="15">
        <f>C26*假设!$G$33</f>
        <v/>
      </c>
      <c r="D28" s="15">
        <f>D26*假设!$G$33</f>
        <v/>
      </c>
      <c r="E28" s="15">
        <f>E26*假设!$G$33</f>
        <v/>
      </c>
      <c r="F28" s="15">
        <f>F26*假设!$G$33</f>
        <v/>
      </c>
      <c r="G28" s="15">
        <f>G26*假设!$G$33</f>
        <v/>
      </c>
      <c r="H28" s="13" t="inlineStr"/>
    </row>
    <row r="29">
      <c r="A29" s="35" t="inlineStr">
        <is>
          <t>相关业务净利润</t>
        </is>
      </c>
      <c r="B29" s="13" t="inlineStr">
        <is>
          <t>亿元</t>
        </is>
      </c>
      <c r="C29" s="36">
        <f>(C27-C28)*(1-假设!$G$34)</f>
        <v/>
      </c>
      <c r="D29" s="36">
        <f>(D27-D28)*(1-假设!$G$34)</f>
        <v/>
      </c>
      <c r="E29" s="36">
        <f>(E27-E28)*(1-假设!$G$34)</f>
        <v/>
      </c>
      <c r="F29" s="36">
        <f>(F27-F28)*(1-假设!$G$34)</f>
        <v/>
      </c>
      <c r="G29" s="36">
        <f>(G27-G28)*(1-假设!$G$34)</f>
        <v/>
      </c>
      <c r="H29" s="13" t="inlineStr"/>
    </row>
    <row r="30">
      <c r="A30" s="13" t="inlineStr">
        <is>
          <t>相关业务净利润 ÷ 2025A 扣非净利润</t>
        </is>
      </c>
      <c r="B30" s="13" t="inlineStr">
        <is>
          <t>比例</t>
        </is>
      </c>
      <c r="C30" s="20">
        <f>IF(假设!$G$47=0,0,C29/假设!$G$47)</f>
        <v/>
      </c>
      <c r="D30" s="20">
        <f>IF(假设!$G$47=0,0,D29/假设!$G$47)</f>
        <v/>
      </c>
      <c r="E30" s="20">
        <f>IF(假设!$G$47=0,0,E29/假设!$G$47)</f>
        <v/>
      </c>
      <c r="F30" s="20">
        <f>IF(假设!$G$47=0,0,F29/假设!$G$47)</f>
        <v/>
      </c>
      <c r="G30" s="20">
        <f>IF(假设!$G$47=0,0,G29/假设!$G$47)</f>
        <v/>
      </c>
      <c r="H30" s="13" t="inlineStr">
        <is>
          <t>增量利润相当于历史利润的多少，不是占未来总利润的比例</t>
        </is>
      </c>
    </row>
    <row r="31">
      <c r="A31" s="13" t="inlineStr">
        <is>
          <t>新业务占 2030E 总利润</t>
        </is>
      </c>
      <c r="B31" s="13" t="inlineStr">
        <is>
          <t>比例</t>
        </is>
      </c>
      <c r="C31" s="20">
        <f>IF((C29+假设!$G$47)=0,0,C29/(C29+假设!$G$47))</f>
        <v/>
      </c>
      <c r="D31" s="20">
        <f>IF((D29+假设!$G$47)=0,0,D29/(D29+假设!$G$47))</f>
        <v/>
      </c>
      <c r="E31" s="20">
        <f>IF((E29+假设!$G$47)=0,0,E29/(E29+假设!$G$47))</f>
        <v/>
      </c>
      <c r="F31" s="20">
        <f>IF((F29+假设!$G$47)=0,0,F29/(F29+假设!$G$47))</f>
        <v/>
      </c>
      <c r="G31" s="20">
        <f>IF((G29+假设!$G$47)=0,0,G29/(G29+假设!$G$47))</f>
        <v/>
      </c>
      <c r="H31" s="13" t="inlineStr">
        <is>
          <t>假设原有业务利润保持 2025A 扣非水平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5" t="inlineStr">
        <is>
          <t>利润与估值：当前市值隐含了多少新业务预期（按情景开关）</t>
        </is>
      </c>
    </row>
    <row r="2">
      <c r="A2" s="6" t="inlineStr">
        <is>
          <t>思路：当前市值 − 原有业务价值 − 非经营性投资资产 = 隐含新业务价值 → 折算到 2029 年末 → ÷ 前瞻 PE = 所需 2030E 净利润 → ÷（市场规模 × 净利率）= 所需份额。</t>
        </is>
      </c>
    </row>
    <row r="4">
      <c r="A4" s="10" t="inlineStr">
        <is>
          <t>项目</t>
        </is>
      </c>
      <c r="B4" s="10" t="inlineStr">
        <is>
          <t>单位</t>
        </is>
      </c>
      <c r="C4" s="10" t="inlineStr">
        <is>
          <t>柯力传感</t>
        </is>
      </c>
      <c r="D4" s="10" t="inlineStr">
        <is>
          <t>安培龙</t>
        </is>
      </c>
      <c r="E4" s="10" t="inlineStr">
        <is>
          <t>东华测试</t>
        </is>
      </c>
      <c r="F4" s="10" t="inlineStr">
        <is>
          <t>说明</t>
        </is>
      </c>
    </row>
    <row r="5">
      <c r="A5" s="13" t="inlineStr">
        <is>
          <t>总市值</t>
        </is>
      </c>
      <c r="B5" s="13" t="inlineStr">
        <is>
          <t>亿元</t>
        </is>
      </c>
      <c r="C5" s="31">
        <f>假设!$G$42</f>
        <v/>
      </c>
      <c r="D5" s="31">
        <f>假设!$G$44</f>
        <v/>
      </c>
      <c r="E5" s="31">
        <f>假设!$G$46</f>
        <v/>
      </c>
      <c r="F5" s="13" t="inlineStr">
        <is>
          <t>2026-10-19 收盘价 × 总股本（F-01、F-03、F-05）</t>
        </is>
      </c>
      <c r="G5" s="6" t="n"/>
    </row>
    <row r="6">
      <c r="A6" s="13" t="inlineStr">
        <is>
          <t>原有业务净利润（2025A 扣非）</t>
        </is>
      </c>
      <c r="B6" s="13" t="inlineStr">
        <is>
          <t>亿元</t>
        </is>
      </c>
      <c r="C6" s="31">
        <f>假设!$G$43</f>
        <v/>
      </c>
      <c r="D6" s="31">
        <f>假设!$G$45</f>
        <v/>
      </c>
      <c r="E6" s="31">
        <f>假设!$G$47</f>
        <v/>
      </c>
      <c r="F6" s="13" t="inlineStr">
        <is>
          <t>扣非利润已含利息收支</t>
        </is>
      </c>
      <c r="G6" s="6" t="n"/>
    </row>
    <row r="7">
      <c r="A7" s="13" t="inlineStr">
        <is>
          <t>原有业务 PE</t>
        </is>
      </c>
      <c r="B7" s="13" t="inlineStr">
        <is>
          <t>x</t>
        </is>
      </c>
      <c r="C7" s="45">
        <f>假设!$G$48</f>
        <v/>
      </c>
      <c r="D7" s="45">
        <f>假设!$G$48</f>
        <v/>
      </c>
      <c r="E7" s="45">
        <f>假设!$G$48</f>
        <v/>
      </c>
      <c r="F7" s="6" t="n"/>
      <c r="G7" s="6" t="n"/>
    </row>
    <row r="8">
      <c r="A8" s="13" t="inlineStr">
        <is>
          <t>① 原有业务价值</t>
        </is>
      </c>
      <c r="B8" s="13" t="inlineStr">
        <is>
          <t>亿元</t>
        </is>
      </c>
      <c r="C8" s="15">
        <f>C6*C7</f>
        <v/>
      </c>
      <c r="D8" s="15">
        <f>D6*D7</f>
        <v/>
      </c>
      <c r="E8" s="15">
        <f>E6*E7</f>
        <v/>
      </c>
      <c r="F8" s="13" t="inlineStr">
        <is>
          <t>扣非净利润 × PE</t>
        </is>
      </c>
      <c r="G8" s="6" t="n"/>
    </row>
    <row r="9">
      <c r="A9" s="13" t="inlineStr">
        <is>
          <t>② 非经营性投资资产（2026-06-30 账面）</t>
        </is>
      </c>
      <c r="B9" s="13" t="inlineStr">
        <is>
          <t>亿元</t>
        </is>
      </c>
      <c r="C9" s="31">
        <f>假设!$G$50</f>
        <v/>
      </c>
      <c r="D9" s="31">
        <f>假设!$G$51</f>
        <v/>
      </c>
      <c r="E9" s="31">
        <f>假设!$G$52</f>
        <v/>
      </c>
      <c r="F9" s="13" t="inlineStr">
        <is>
          <t>理财、金融资产、长期股权投资，收益多不在扣非利润中</t>
        </is>
      </c>
      <c r="G9" s="6" t="n"/>
    </row>
    <row r="10">
      <c r="A10" s="35" t="inlineStr">
        <is>
          <t>③ 隐含新业务价值（报告日）</t>
        </is>
      </c>
      <c r="B10" s="13" t="inlineStr">
        <is>
          <t>亿元</t>
        </is>
      </c>
      <c r="C10" s="36">
        <f>C5-C8-C9</f>
        <v/>
      </c>
      <c r="D10" s="36">
        <f>D5-D8-D9</f>
        <v/>
      </c>
      <c r="E10" s="36">
        <f>E5-E8-E9</f>
        <v/>
      </c>
      <c r="F10" s="13" t="inlineStr">
        <is>
          <t>≤ 0 表示市值未给新业务溢价</t>
        </is>
      </c>
      <c r="G10" s="6" t="n"/>
    </row>
    <row r="11">
      <c r="A11" s="13" t="inlineStr">
        <is>
          <t>新业务价值占总市值</t>
        </is>
      </c>
      <c r="B11" s="13" t="inlineStr">
        <is>
          <t>比例</t>
        </is>
      </c>
      <c r="C11" s="20">
        <f>IF(C5=0,0,C10/C5)</f>
        <v/>
      </c>
      <c r="D11" s="20">
        <f>IF(D5=0,0,D10/D5)</f>
        <v/>
      </c>
      <c r="E11" s="20">
        <f>IF(E5=0,0,E10/E5)</f>
        <v/>
      </c>
      <c r="F11" s="6" t="n"/>
      <c r="G11" s="6" t="n"/>
    </row>
    <row r="12">
      <c r="A12" s="13" t="inlineStr">
        <is>
          <t>股权折现率</t>
        </is>
      </c>
      <c r="B12" s="13" t="inlineStr">
        <is>
          <t>比例</t>
        </is>
      </c>
      <c r="C12" s="33">
        <f>假设!$G$56</f>
        <v/>
      </c>
      <c r="D12" s="33">
        <f>假设!$G$56</f>
        <v/>
      </c>
      <c r="E12" s="33">
        <f>假设!$G$56</f>
        <v/>
      </c>
      <c r="F12" s="13" t="inlineStr">
        <is>
          <t>作者假设</t>
        </is>
      </c>
      <c r="G12" s="6" t="n"/>
    </row>
    <row r="13">
      <c r="A13" s="13" t="inlineStr">
        <is>
          <t>折现年数</t>
        </is>
      </c>
      <c r="B13" s="13" t="inlineStr">
        <is>
          <t>年</t>
        </is>
      </c>
      <c r="C13" s="52">
        <f>假设!$G$57</f>
        <v/>
      </c>
      <c r="D13" s="52">
        <f>假设!$G$57</f>
        <v/>
      </c>
      <c r="E13" s="52">
        <f>假设!$G$57</f>
        <v/>
      </c>
      <c r="F13" s="13" t="inlineStr">
        <is>
          <t>报告日至 2029 年末</t>
        </is>
      </c>
      <c r="G13" s="6" t="n"/>
    </row>
    <row r="14">
      <c r="A14" s="13" t="inlineStr">
        <is>
          <t>④ 新业务价值（折算到 2029 年末）</t>
        </is>
      </c>
      <c r="B14" s="13" t="inlineStr">
        <is>
          <t>亿元</t>
        </is>
      </c>
      <c r="C14" s="15">
        <f>MAX(0,C10)*(1+C12)^C13</f>
        <v/>
      </c>
      <c r="D14" s="15">
        <f>MAX(0,D10)*(1+D12)^D13</f>
        <v/>
      </c>
      <c r="E14" s="15">
        <f>MAX(0,E10)*(1+E12)^E13</f>
        <v/>
      </c>
      <c r="F14" s="13" t="inlineStr">
        <is>
          <t>2029 年末按 2030E 利润 × 前瞻 PE 定价</t>
        </is>
      </c>
      <c r="G14" s="6" t="n"/>
    </row>
    <row r="15">
      <c r="A15" s="13" t="inlineStr">
        <is>
          <t>新业务稳态 PE（2030E）</t>
        </is>
      </c>
      <c r="B15" s="13" t="inlineStr">
        <is>
          <t>x</t>
        </is>
      </c>
      <c r="C15" s="45">
        <f>假设!$G$49</f>
        <v/>
      </c>
      <c r="D15" s="45">
        <f>假设!$G$49</f>
        <v/>
      </c>
      <c r="E15" s="45">
        <f>假设!$G$49</f>
        <v/>
      </c>
      <c r="F15" s="6" t="n"/>
      <c r="G15" s="6" t="n"/>
    </row>
    <row r="16">
      <c r="A16" s="35" t="inlineStr">
        <is>
          <t>⑤ 所需 2030E 新业务净利润</t>
        </is>
      </c>
      <c r="B16" s="13" t="inlineStr">
        <is>
          <t>亿元</t>
        </is>
      </c>
      <c r="C16" s="36">
        <f>C14/C15</f>
        <v/>
      </c>
      <c r="D16" s="36">
        <f>D14/D15</f>
        <v/>
      </c>
      <c r="E16" s="36">
        <f>E14/E15</f>
        <v/>
      </c>
      <c r="F16" s="6" t="n"/>
      <c r="G16" s="6" t="n"/>
    </row>
    <row r="17">
      <c r="A17" s="13" t="inlineStr">
        <is>
          <t>相关业务净利率</t>
        </is>
      </c>
      <c r="B17" s="13" t="inlineStr">
        <is>
          <t>比例</t>
        </is>
      </c>
      <c r="C17" s="20">
        <f>(假设!$G$32-假设!$G$33)*(1-假设!$G$34)</f>
        <v/>
      </c>
      <c r="D17" s="20">
        <f>(假设!$G$32-假设!$G$33)*(1-假设!$G$34)</f>
        <v/>
      </c>
      <c r="E17" s="20">
        <f>(假设!$G$32-假设!$G$33)*(1-假设!$G$34)</f>
        <v/>
      </c>
      <c r="F17" s="13" t="inlineStr">
        <is>
          <t>（毛利率 − 费用率）×（1 − 所得税率）</t>
        </is>
      </c>
      <c r="G17" s="6" t="n"/>
    </row>
    <row r="18">
      <c r="A18" s="13" t="inlineStr">
        <is>
          <t>2030E 中国人形六维力市场规模</t>
        </is>
      </c>
      <c r="B18" s="13" t="inlineStr">
        <is>
          <t>亿元</t>
        </is>
      </c>
      <c r="C18" s="31">
        <f>需求情景!H11</f>
        <v/>
      </c>
      <c r="D18" s="31">
        <f>需求情景!H11</f>
        <v/>
      </c>
      <c r="E18" s="31">
        <f>需求情景!H11</f>
        <v/>
      </c>
      <c r="F18" s="6" t="n"/>
      <c r="G18" s="6" t="n"/>
    </row>
    <row r="19">
      <c r="A19" s="35" t="inlineStr">
        <is>
          <t>⑥ 支撑当前市值所需的 2030E 份额</t>
        </is>
      </c>
      <c r="B19" s="13" t="inlineStr">
        <is>
          <t>比例</t>
        </is>
      </c>
      <c r="C19" s="46">
        <f>IF(C18*C17=0,0,C16/(C18*C17))</f>
        <v/>
      </c>
      <c r="D19" s="46">
        <f>IF(D18*D17=0,0,D16/(D18*D17))</f>
        <v/>
      </c>
      <c r="E19" s="46">
        <f>IF(E18*E17=0,0,E16/(E18*E17))</f>
        <v/>
      </c>
      <c r="F19" s="13" t="inlineStr">
        <is>
          <t>对照：2025 年前三名合计 92.8%（赛迪）</t>
        </is>
      </c>
      <c r="G19" s="6" t="n"/>
    </row>
    <row r="20">
      <c r="A20" s="13" t="inlineStr">
        <is>
          <t>模型假设的 2030E 份额</t>
        </is>
      </c>
      <c r="B20" s="13" t="inlineStr">
        <is>
          <t>比例</t>
        </is>
      </c>
      <c r="C20" s="33">
        <f>收入桥!G9</f>
        <v/>
      </c>
      <c r="D20" s="33">
        <f>收入桥!G17</f>
        <v/>
      </c>
      <c r="E20" s="33">
        <f>收入桥!G25</f>
        <v/>
      </c>
      <c r="F20" s="6" t="n"/>
      <c r="G20" s="6" t="n"/>
    </row>
    <row r="21">
      <c r="A21" s="13" t="inlineStr">
        <is>
          <t>模型 2030E 相关业务净利润</t>
        </is>
      </c>
      <c r="B21" s="13" t="inlineStr">
        <is>
          <t>亿元</t>
        </is>
      </c>
      <c r="C21" s="31">
        <f>收入桥!G13</f>
        <v/>
      </c>
      <c r="D21" s="31">
        <f>收入桥!G21</f>
        <v/>
      </c>
      <c r="E21" s="31">
        <f>收入桥!G29</f>
        <v/>
      </c>
      <c r="F21" s="13" t="inlineStr">
        <is>
          <t>引自「收入桥」</t>
        </is>
      </c>
      <c r="G21" s="6" t="n"/>
    </row>
    <row r="22">
      <c r="A22" s="13" t="inlineStr">
        <is>
          <t>模型利润 ÷ 所需利润</t>
        </is>
      </c>
      <c r="B22" s="13" t="inlineStr">
        <is>
          <t>比例</t>
        </is>
      </c>
      <c r="C22" s="20">
        <f>IF(C16=0,"无需兑现",C21/C16)</f>
        <v/>
      </c>
      <c r="D22" s="20">
        <f>IF(D16=0,"无需兑现",D21/D16)</f>
        <v/>
      </c>
      <c r="E22" s="20">
        <f>IF(E16=0,"无需兑现",E21/E16)</f>
        <v/>
      </c>
      <c r="F22" s="13" t="inlineStr">
        <is>
          <t>&lt;100% 表示按本模型仍不足以支撑当前市值</t>
        </is>
      </c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13" t="inlineStr">
        <is>
          <t>参考：净现金（负数为净负债）</t>
        </is>
      </c>
      <c r="B24" s="13" t="inlineStr">
        <is>
          <t>亿元</t>
        </is>
      </c>
      <c r="C24" s="31">
        <f>假设!$G$53</f>
        <v/>
      </c>
      <c r="D24" s="31">
        <f>假设!$G$54</f>
        <v/>
      </c>
      <c r="E24" s="31">
        <f>假设!$G$55</f>
        <v/>
      </c>
      <c r="F24" s="13" t="inlineStr">
        <is>
          <t>基准算法不加减净现金（PE 已反映利息收支）</t>
        </is>
      </c>
      <c r="G24" s="6" t="n"/>
    </row>
    <row r="25">
      <c r="A25" s="13" t="inlineStr">
        <is>
          <t>参考：若再计入净现金，所需 2030E 份额</t>
        </is>
      </c>
      <c r="B25" s="13" t="inlineStr">
        <is>
          <t>比例</t>
        </is>
      </c>
      <c r="C25" s="20">
        <f>IF(C18*C17*C15=0,0,MAX(0,C10-C24)*(1+C12)^C13/C15/(C18*C17))</f>
        <v/>
      </c>
      <c r="D25" s="20">
        <f>IF(D18*D17*D15=0,0,MAX(0,D10-D24)*(1+D12)^D13/D15/(D18*D17))</f>
        <v/>
      </c>
      <c r="E25" s="20">
        <f>IF(E18*E17*E15=0,0,MAX(0,E10-E24)*(1+E12)^E13/E15/(E18*E17))</f>
        <v/>
      </c>
      <c r="F25" s="13" t="inlineStr">
        <is>
          <t>净负债公司（安培龙）所需份额会更高</t>
        </is>
      </c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inlineStr">
        <is>
          <t>方法说明：</t>
        </is>
      </c>
      <c r="B27" s="6" t="n"/>
      <c r="C27" s="6" t="n"/>
      <c r="D27" s="6" t="n"/>
      <c r="E27" s="6" t="n"/>
      <c r="F27" s="6" t="n"/>
      <c r="G27" s="6" t="n"/>
    </row>
    <row r="28">
      <c r="A28" s="6" t="inlineStr">
        <is>
          <t>① 原有业务价值 = 2025A 扣非净利润 × PE。扣非利润已包含利息收支，所以基准算法不再单独加减净现金；第 25 行给出加回后的结果。</t>
        </is>
      </c>
      <c r="B28" s="6" t="n"/>
      <c r="C28" s="6" t="n"/>
      <c r="D28" s="6" t="n"/>
      <c r="E28" s="6" t="n"/>
      <c r="F28" s="6" t="n"/>
      <c r="G28" s="6" t="n"/>
    </row>
    <row r="29">
      <c r="A29" s="6" t="inlineStr">
        <is>
          <t>② 交易性金融资产、其他非流动金融资产、其他权益工具投资、长期股权投资按 2026-06-30 账面值加回，未做公允价值重估。</t>
        </is>
      </c>
      <c r="B29" s="6" t="n"/>
      <c r="C29" s="6" t="n"/>
      <c r="D29" s="6" t="n"/>
      <c r="E29" s="6" t="n"/>
      <c r="F29" s="6" t="n"/>
      <c r="G29" s="6" t="n"/>
    </row>
    <row r="30">
      <c r="A30" s="6" t="inlineStr">
        <is>
          <t>④ 2030E 利润按前瞻 PE 在 2029 年末定价，再按股权折现率折回报告日；折现率与年数为作者假设。</t>
        </is>
      </c>
      <c r="B30" s="6" t="n"/>
      <c r="C30" s="6" t="n"/>
      <c r="D30" s="6" t="n"/>
      <c r="E30" s="6" t="n"/>
      <c r="F30" s="6" t="n"/>
      <c r="G30" s="6" t="n"/>
    </row>
    <row r="31">
      <c r="A31" s="6" t="inlineStr">
        <is>
          <t>柯力、安培龙的市值还反映协作机器人力传感器、汽车 EMB 力传感器、并购等其他预期，不能全部归因于人形六维力。</t>
        </is>
      </c>
      <c r="B31" s="6" t="n"/>
      <c r="C31" s="6" t="n"/>
      <c r="D31" s="6" t="n"/>
      <c r="E31" s="6" t="n"/>
      <c r="F31" s="6" t="n"/>
      <c r="G31" s="6" t="n"/>
    </row>
    <row r="32">
      <c r="A32" s="6" t="inlineStr">
        <is>
          <t>本页只回答“当前价格隐含什么”，不构成投资建议。</t>
        </is>
      </c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</cols>
  <sheetData>
    <row r="1">
      <c r="A1" s="5" t="inlineStr">
        <is>
          <t>敏感性分析（2030E，整机出货和费用率按情景开关取值）</t>
        </is>
      </c>
    </row>
    <row r="3">
      <c r="A3" s="7" t="inlineStr">
        <is>
          <t>表 1：2030E 中国人形六维力市场规模（亿元）</t>
        </is>
      </c>
    </row>
    <row r="4">
      <c r="A4" s="7" t="inlineStr">
        <is>
          <t>有效颗/台 ↓ ／ 单价（元/颗）→</t>
        </is>
      </c>
      <c r="B4" s="47" t="n">
        <v>3600</v>
      </c>
      <c r="C4" s="47" t="n">
        <v>3900</v>
      </c>
      <c r="D4" s="47" t="n">
        <v>5000</v>
      </c>
      <c r="E4" s="47" t="n">
        <v>5800</v>
      </c>
      <c r="F4" s="47" t="n">
        <v>6300</v>
      </c>
      <c r="G4" s="38" t="inlineStr">
        <is>
          <t>单价锚点：中金约 3,600、GGII 约 3,900、赛迪 5,000</t>
        </is>
      </c>
    </row>
    <row r="5">
      <c r="A5" s="48" t="n">
        <v>0.7</v>
      </c>
      <c r="B5" s="15">
        <f>假设!$G$23*$A5*B$4/10000</f>
        <v/>
      </c>
      <c r="C5" s="15">
        <f>假设!$G$23*$A5*C$4/10000</f>
        <v/>
      </c>
      <c r="D5" s="15">
        <f>假设!$G$23*$A5*D$4/10000</f>
        <v/>
      </c>
      <c r="E5" s="15">
        <f>假设!$G$23*$A5*E$4/10000</f>
        <v/>
      </c>
      <c r="F5" s="15">
        <f>假设!$G$23*$A5*F$4/10000</f>
        <v/>
      </c>
      <c r="G5" s="38" t="inlineStr">
        <is>
          <t>有效颗/台锚点：GGII ≈ 1.0、中金/本文基准 1.65、赛迪 ≈ 3.0</t>
        </is>
      </c>
    </row>
    <row r="6">
      <c r="A6" s="48" t="n">
        <v>1</v>
      </c>
      <c r="B6" s="15">
        <f>假设!$G$23*$A6*B$4/10000</f>
        <v/>
      </c>
      <c r="C6" s="15">
        <f>假设!$G$23*$A6*C$4/10000</f>
        <v/>
      </c>
      <c r="D6" s="15">
        <f>假设!$G$23*$A6*D$4/10000</f>
        <v/>
      </c>
      <c r="E6" s="15">
        <f>假设!$G$23*$A6*E$4/10000</f>
        <v/>
      </c>
      <c r="F6" s="15">
        <f>假设!$G$23*$A6*F$4/10000</f>
        <v/>
      </c>
    </row>
    <row r="7">
      <c r="A7" s="48" t="n">
        <v>1.65</v>
      </c>
      <c r="B7" s="15">
        <f>假设!$G$23*$A7*B$4/10000</f>
        <v/>
      </c>
      <c r="C7" s="15">
        <f>假设!$G$23*$A7*C$4/10000</f>
        <v/>
      </c>
      <c r="D7" s="15">
        <f>假设!$G$23*$A7*D$4/10000</f>
        <v/>
      </c>
      <c r="E7" s="15">
        <f>假设!$G$23*$A7*E$4/10000</f>
        <v/>
      </c>
      <c r="F7" s="15">
        <f>假设!$G$23*$A7*F$4/10000</f>
        <v/>
      </c>
    </row>
    <row r="8">
      <c r="A8" s="48" t="n">
        <v>2.2</v>
      </c>
      <c r="B8" s="15">
        <f>假设!$G$23*$A8*B$4/10000</f>
        <v/>
      </c>
      <c r="C8" s="15">
        <f>假设!$G$23*$A8*C$4/10000</f>
        <v/>
      </c>
      <c r="D8" s="15">
        <f>假设!$G$23*$A8*D$4/10000</f>
        <v/>
      </c>
      <c r="E8" s="15">
        <f>假设!$G$23*$A8*E$4/10000</f>
        <v/>
      </c>
      <c r="F8" s="15">
        <f>假设!$G$23*$A8*F$4/10000</f>
        <v/>
      </c>
    </row>
    <row r="9">
      <c r="A9" s="48" t="n">
        <v>2.8</v>
      </c>
      <c r="B9" s="15">
        <f>假设!$G$23*$A9*B$4/10000</f>
        <v/>
      </c>
      <c r="C9" s="15">
        <f>假设!$G$23*$A9*C$4/10000</f>
        <v/>
      </c>
      <c r="D9" s="15">
        <f>假设!$G$23*$A9*D$4/10000</f>
        <v/>
      </c>
      <c r="E9" s="15">
        <f>假设!$G$23*$A9*E$4/10000</f>
        <v/>
      </c>
      <c r="F9" s="15">
        <f>假设!$G$23*$A9*F$4/10000</f>
        <v/>
      </c>
    </row>
    <row r="12">
      <c r="A12" s="7" t="inlineStr">
        <is>
          <t>表 2：柯力传感 2030E 相关业务净利润（亿元）</t>
        </is>
      </c>
    </row>
    <row r="13">
      <c r="A13" s="7" t="inlineStr">
        <is>
          <t>份额 ↓ ／ 毛利率 →</t>
        </is>
      </c>
      <c r="B13" s="49" t="n">
        <v>0.3</v>
      </c>
      <c r="C13" s="49" t="n">
        <v>0.35</v>
      </c>
      <c r="D13" s="49" t="n">
        <v>0.4</v>
      </c>
      <c r="E13" s="49" t="n">
        <v>0.45</v>
      </c>
      <c r="F13" s="49" t="n">
        <v>0.5</v>
      </c>
      <c r="G13" s="38">
        <f>"对照：柯力 2025 扣非净利润 "&amp;TEXT(假设!$G$43,"0.00")&amp;" 亿元"</f>
        <v/>
      </c>
    </row>
    <row r="14">
      <c r="A14" s="49" t="n">
        <v>0.03</v>
      </c>
      <c r="B14" s="15">
        <f>需求情景!$H$11*$A14*(B$13-假设!$G$33)*(1-假设!$G$34)</f>
        <v/>
      </c>
      <c r="C14" s="15">
        <f>需求情景!$H$11*$A14*(C$13-假设!$G$33)*(1-假设!$G$34)</f>
        <v/>
      </c>
      <c r="D14" s="15">
        <f>需求情景!$H$11*$A14*(D$13-假设!$G$33)*(1-假设!$G$34)</f>
        <v/>
      </c>
      <c r="E14" s="15">
        <f>需求情景!$H$11*$A14*(E$13-假设!$G$33)*(1-假设!$G$34)</f>
        <v/>
      </c>
      <c r="F14" s="15">
        <f>需求情景!$H$11*$A14*(F$13-假设!$G$33)*(1-假设!$G$34)</f>
        <v/>
      </c>
    </row>
    <row r="15">
      <c r="A15" s="49" t="n">
        <v>0.05</v>
      </c>
      <c r="B15" s="15">
        <f>需求情景!$H$11*$A15*(B$13-假设!$G$33)*(1-假设!$G$34)</f>
        <v/>
      </c>
      <c r="C15" s="15">
        <f>需求情景!$H$11*$A15*(C$13-假设!$G$33)*(1-假设!$G$34)</f>
        <v/>
      </c>
      <c r="D15" s="15">
        <f>需求情景!$H$11*$A15*(D$13-假设!$G$33)*(1-假设!$G$34)</f>
        <v/>
      </c>
      <c r="E15" s="15">
        <f>需求情景!$H$11*$A15*(E$13-假设!$G$33)*(1-假设!$G$34)</f>
        <v/>
      </c>
      <c r="F15" s="15">
        <f>需求情景!$H$11*$A15*(F$13-假设!$G$33)*(1-假设!$G$34)</f>
        <v/>
      </c>
    </row>
    <row r="16">
      <c r="A16" s="49" t="n">
        <v>0.08</v>
      </c>
      <c r="B16" s="15">
        <f>需求情景!$H$11*$A16*(B$13-假设!$G$33)*(1-假设!$G$34)</f>
        <v/>
      </c>
      <c r="C16" s="15">
        <f>需求情景!$H$11*$A16*(C$13-假设!$G$33)*(1-假设!$G$34)</f>
        <v/>
      </c>
      <c r="D16" s="15">
        <f>需求情景!$H$11*$A16*(D$13-假设!$G$33)*(1-假设!$G$34)</f>
        <v/>
      </c>
      <c r="E16" s="15">
        <f>需求情景!$H$11*$A16*(E$13-假设!$G$33)*(1-假设!$G$34)</f>
        <v/>
      </c>
      <c r="F16" s="15">
        <f>需求情景!$H$11*$A16*(F$13-假设!$G$33)*(1-假设!$G$34)</f>
        <v/>
      </c>
    </row>
    <row r="17">
      <c r="A17" s="49" t="n">
        <v>0.12</v>
      </c>
      <c r="B17" s="15">
        <f>需求情景!$H$11*$A17*(B$13-假设!$G$33)*(1-假设!$G$34)</f>
        <v/>
      </c>
      <c r="C17" s="15">
        <f>需求情景!$H$11*$A17*(C$13-假设!$G$33)*(1-假设!$G$34)</f>
        <v/>
      </c>
      <c r="D17" s="15">
        <f>需求情景!$H$11*$A17*(D$13-假设!$G$33)*(1-假设!$G$34)</f>
        <v/>
      </c>
      <c r="E17" s="15">
        <f>需求情景!$H$11*$A17*(E$13-假设!$G$33)*(1-假设!$G$34)</f>
        <v/>
      </c>
      <c r="F17" s="15">
        <f>需求情景!$H$11*$A17*(F$13-假设!$G$33)*(1-假设!$G$34)</f>
        <v/>
      </c>
    </row>
    <row r="18">
      <c r="A18" s="49" t="n">
        <v>0.15</v>
      </c>
      <c r="B18" s="15">
        <f>需求情景!$H$11*$A18*(B$13-假设!$G$33)*(1-假设!$G$34)</f>
        <v/>
      </c>
      <c r="C18" s="15">
        <f>需求情景!$H$11*$A18*(C$13-假设!$G$33)*(1-假设!$G$34)</f>
        <v/>
      </c>
      <c r="D18" s="15">
        <f>需求情景!$H$11*$A18*(D$13-假设!$G$33)*(1-假设!$G$34)</f>
        <v/>
      </c>
      <c r="E18" s="15">
        <f>需求情景!$H$11*$A18*(E$13-假设!$G$33)*(1-假设!$G$34)</f>
        <v/>
      </c>
      <c r="F18" s="15">
        <f>需求情景!$H$11*$A18*(F$13-假设!$G$33)*(1-假设!$G$34)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7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22" customWidth="1" min="4" max="4"/>
    <col width="40" customWidth="1" min="5" max="5"/>
    <col width="24" customWidth="1" min="6" max="6"/>
    <col width="12" customWidth="1" min="7" max="7"/>
    <col width="10" customWidth="1" min="8" max="8"/>
    <col width="18" customWidth="1" min="9" max="9"/>
    <col width="22" customWidth="1" min="10" max="10"/>
    <col width="30" customWidth="1" min="11" max="11"/>
    <col width="40" customWidth="1" min="12" max="12"/>
    <col width="7" customWidth="1" min="13" max="13"/>
  </cols>
  <sheetData>
    <row r="1">
      <c r="A1" s="10" t="inlineStr">
        <is>
          <t>ID</t>
        </is>
      </c>
      <c r="B1" s="10" t="inlineStr">
        <is>
          <t>模块</t>
        </is>
      </c>
      <c r="C1" s="10" t="inlineStr">
        <is>
          <t>公司</t>
        </is>
      </c>
      <c r="D1" s="10" t="inlineStr">
        <is>
          <t>指标</t>
        </is>
      </c>
      <c r="E1" s="10" t="inlineStr">
        <is>
          <t>原文要点</t>
        </is>
      </c>
      <c r="F1" s="10" t="inlineStr">
        <is>
          <t>原始来源</t>
        </is>
      </c>
      <c r="G1" s="10" t="inlineStr">
        <is>
          <t>日期</t>
        </is>
      </c>
      <c r="H1" s="10" t="inlineStr">
        <is>
          <t>性质</t>
        </is>
      </c>
      <c r="I1" s="10" t="inlineStr">
        <is>
          <t>数值</t>
        </is>
      </c>
      <c r="J1" s="10" t="inlineStr">
        <is>
          <t>本文采用值</t>
        </is>
      </c>
      <c r="K1" s="10" t="inlineStr">
        <is>
          <t>局限</t>
        </is>
      </c>
      <c r="L1" s="10" t="inlineStr">
        <is>
          <t>URL / 本地文件 + 页码</t>
        </is>
      </c>
      <c r="M1" s="10" t="inlineStr">
        <is>
          <t>可信度</t>
        </is>
      </c>
    </row>
    <row r="2">
      <c r="A2" s="16" t="inlineStr">
        <is>
          <t>C-01</t>
        </is>
      </c>
      <c r="B2" s="16" t="inlineStr">
        <is>
          <t>公司</t>
        </is>
      </c>
      <c r="C2" s="16" t="inlineStr">
        <is>
          <t>柯力传感</t>
        </is>
      </c>
      <c r="D2" s="16" t="inlineStr">
        <is>
          <t>送样 / 样品验收</t>
        </is>
      </c>
      <c r="E2" s="16" t="inlineStr">
        <is>
          <t>样品客户已测试合格，订单已完成交付；能否获小批量订单尚不确定</t>
        </is>
      </c>
      <c r="F2" s="16" t="inlineStr">
        <is>
          <t>上证e互动回复（媒体转述）</t>
        </is>
      </c>
      <c r="G2" s="16" t="inlineStr">
        <is>
          <t>2024-12-30</t>
        </is>
      </c>
      <c r="H2" s="16" t="inlineStr">
        <is>
          <t>实际</t>
        </is>
      </c>
      <c r="I2" s="16" t="inlineStr">
        <is>
          <t>—</t>
        </is>
      </c>
      <c r="J2" s="16" t="inlineStr"/>
      <c r="K2" s="16" t="inlineStr">
        <is>
          <t>投资者问的是华为，公司未确认客户名</t>
        </is>
      </c>
      <c r="L2" s="16" t="inlineStr">
        <is>
          <t>https://www.stcn.com/article/detail/1472756.html</t>
        </is>
      </c>
      <c r="M2" s="16" t="inlineStr">
        <is>
          <t>中</t>
        </is>
      </c>
    </row>
    <row r="3">
      <c r="A3" s="16" t="inlineStr">
        <is>
          <t>C-02</t>
        </is>
      </c>
      <c r="B3" s="16" t="inlineStr">
        <is>
          <t>公司</t>
        </is>
      </c>
      <c r="C3" s="16" t="inlineStr">
        <is>
          <t>柯力传感</t>
        </is>
      </c>
      <c r="D3" s="16" t="inlineStr">
        <is>
          <t>批量订单（协作机器人）</t>
        </is>
      </c>
      <c r="E3" s="16" t="inlineStr">
        <is>
          <t>六维力传感器已取得部分协作机器人客户批量订单</t>
        </is>
      </c>
      <c r="F3" s="16" t="inlineStr">
        <is>
          <t>上证e互动</t>
        </is>
      </c>
      <c r="G3" s="16" t="inlineStr">
        <is>
          <t>2024-12-30</t>
        </is>
      </c>
      <c r="H3" s="16" t="inlineStr">
        <is>
          <t>实际</t>
        </is>
      </c>
      <c r="I3" s="16" t="inlineStr">
        <is>
          <t>—</t>
        </is>
      </c>
      <c r="J3" s="16" t="inlineStr"/>
      <c r="K3" s="16" t="inlineStr">
        <is>
          <t>对 2024 年业绩影响较小</t>
        </is>
      </c>
      <c r="L3" s="16" t="inlineStr">
        <is>
          <t>https://www.nbd.com.cn/articles/2024-12-30/3705529.html</t>
        </is>
      </c>
      <c r="M3" s="16" t="inlineStr">
        <is>
          <t>高</t>
        </is>
      </c>
    </row>
    <row r="4">
      <c r="A4" s="16" t="inlineStr">
        <is>
          <t>C-03</t>
        </is>
      </c>
      <c r="B4" s="16" t="inlineStr">
        <is>
          <t>公司</t>
        </is>
      </c>
      <c r="C4" s="16" t="inlineStr">
        <is>
          <t>柯力传感</t>
        </is>
      </c>
      <c r="D4" s="16" t="inlineStr">
        <is>
          <t>批量供货</t>
        </is>
      </c>
      <c r="E4" s="16" t="inlineStr">
        <is>
          <t>六维力已实现向部分客户批量供货，营收占比较小</t>
        </is>
      </c>
      <c r="F4" s="16" t="inlineStr">
        <is>
          <t>上证e互动</t>
        </is>
      </c>
      <c r="G4" s="16" t="inlineStr">
        <is>
          <t>2025-03-03</t>
        </is>
      </c>
      <c r="H4" s="16" t="inlineStr">
        <is>
          <t>实际</t>
        </is>
      </c>
      <c r="I4" s="16" t="inlineStr">
        <is>
          <t>—</t>
        </is>
      </c>
      <c r="J4" s="16" t="inlineStr"/>
      <c r="K4" s="16" t="inlineStr">
        <is>
          <t>未给数量</t>
        </is>
      </c>
      <c r="L4" s="16" t="inlineStr">
        <is>
          <t>https://finance.sina.com.cn/stock/relnews/cn/2025-03-03/doc-inenkmnh6637483.shtml</t>
        </is>
      </c>
      <c r="M4" s="16" t="inlineStr">
        <is>
          <t>高</t>
        </is>
      </c>
    </row>
    <row r="5">
      <c r="A5" s="16" t="inlineStr">
        <is>
          <t>C-04</t>
        </is>
      </c>
      <c r="B5" s="16" t="inlineStr">
        <is>
          <t>公司</t>
        </is>
      </c>
      <c r="C5" s="16" t="inlineStr">
        <is>
          <t>柯力传感</t>
        </is>
      </c>
      <c r="D5" s="16" t="inlineStr">
        <is>
          <t>批量出货（AI理疗）</t>
        </is>
      </c>
      <c r="E5" s="16" t="inlineStr">
        <is>
          <t>AI理疗机器人用六维力 25H1 已批量出货数百台</t>
        </is>
      </c>
      <c r="F5" s="16" t="inlineStr">
        <is>
          <t>上证e互动</t>
        </is>
      </c>
      <c r="G5" s="16" t="inlineStr">
        <is>
          <t>2025-07-07</t>
        </is>
      </c>
      <c r="H5" s="16" t="inlineStr">
        <is>
          <t>实际</t>
        </is>
      </c>
      <c r="I5" s="16" t="inlineStr">
        <is>
          <t>数百台</t>
        </is>
      </c>
      <c r="J5" s="16" t="inlineStr"/>
      <c r="K5" s="16" t="inlineStr">
        <is>
          <t>非人形场景</t>
        </is>
      </c>
      <c r="L5" s="16" t="inlineStr">
        <is>
          <t>https://finance.sina.com.cn/stock/relnews/dongmiqa/2025-07-07/doc-inferrrp6286638.shtml</t>
        </is>
      </c>
      <c r="M5" s="16" t="inlineStr">
        <is>
          <t>高</t>
        </is>
      </c>
    </row>
    <row r="6">
      <c r="A6" s="16" t="inlineStr">
        <is>
          <t>C-05</t>
        </is>
      </c>
      <c r="B6" s="16" t="inlineStr">
        <is>
          <t>公司</t>
        </is>
      </c>
      <c r="C6" s="16" t="inlineStr">
        <is>
          <t>柯力传感</t>
        </is>
      </c>
      <c r="D6" s="16" t="inlineStr">
        <is>
          <t>人形客户阶段</t>
        </is>
      </c>
      <c r="E6" s="16" t="inlineStr">
        <is>
          <t>已给国内多家人形客户送样，尚未进入量产采购阶段</t>
        </is>
      </c>
      <c r="F6" s="16" t="inlineStr">
        <is>
          <t>上证e互动</t>
        </is>
      </c>
      <c r="G6" s="16" t="inlineStr">
        <is>
          <t>2025-07-07</t>
        </is>
      </c>
      <c r="H6" s="16" t="inlineStr">
        <is>
          <t>实际</t>
        </is>
      </c>
      <c r="I6" s="16" t="inlineStr">
        <is>
          <t>—</t>
        </is>
      </c>
      <c r="J6" s="16" t="inlineStr"/>
      <c r="K6" s="16" t="inlineStr">
        <is>
          <t>截至 2025-07</t>
        </is>
      </c>
      <c r="L6" s="16" t="inlineStr">
        <is>
          <t>同上</t>
        </is>
      </c>
      <c r="M6" s="16" t="inlineStr">
        <is>
          <t>高</t>
        </is>
      </c>
    </row>
    <row r="7">
      <c r="A7" s="16" t="inlineStr">
        <is>
          <t>C-06</t>
        </is>
      </c>
      <c r="B7" s="16" t="inlineStr">
        <is>
          <t>公司</t>
        </is>
      </c>
      <c r="C7" s="16" t="inlineStr">
        <is>
          <t>柯力传感</t>
        </is>
      </c>
      <c r="D7" s="16" t="inlineStr">
        <is>
          <t>25H1 出货 / 送样</t>
        </is>
      </c>
      <c r="E7" s="16" t="inlineStr">
        <is>
          <t>送样 50 多家；六维力出货近千套；部分进入小批量</t>
        </is>
      </c>
      <c r="F7" s="16" t="inlineStr">
        <is>
          <t>2025 半年报（媒体转述）</t>
        </is>
      </c>
      <c r="G7" s="16" t="inlineStr">
        <is>
          <t>2025-08-28</t>
        </is>
      </c>
      <c r="H7" s="16" t="inlineStr">
        <is>
          <t>实际</t>
        </is>
      </c>
      <c r="I7" s="16" t="inlineStr">
        <is>
          <t>≈1000 套；送样 50+ 家</t>
        </is>
      </c>
      <c r="J7" s="16" t="inlineStr"/>
      <c r="K7" s="16" t="inlineStr">
        <is>
          <t>来自转述，未读原文</t>
        </is>
      </c>
      <c r="L7" s="16" t="inlineStr">
        <is>
          <t>https://sensor.ofweek.com/2025-09/ART-81013-8120-30669803.html</t>
        </is>
      </c>
      <c r="M7" s="16" t="inlineStr">
        <is>
          <t>中</t>
        </is>
      </c>
    </row>
    <row r="8">
      <c r="A8" s="16" t="inlineStr">
        <is>
          <t>C-07</t>
        </is>
      </c>
      <c r="B8" s="16" t="inlineStr">
        <is>
          <t>公司</t>
        </is>
      </c>
      <c r="C8" s="16" t="inlineStr">
        <is>
          <t>柯力传感</t>
        </is>
      </c>
      <c r="D8" s="16" t="inlineStr">
        <is>
          <t>2025 全年出货</t>
        </is>
      </c>
      <c r="E8" s="16" t="inlineStr">
        <is>
          <t>2025 年机器人力学传感器销量超 1500 只，送样超 70 家</t>
        </is>
      </c>
      <c r="F8" s="16" t="inlineStr">
        <is>
          <t>2025 年度业绩说明会公告（编号 2026-016，PDF 原文）</t>
        </is>
      </c>
      <c r="G8" s="16" t="inlineStr">
        <is>
          <t>2026-05-29 会 / 05-30 公告</t>
        </is>
      </c>
      <c r="H8" s="16" t="inlineStr">
        <is>
          <t>实际</t>
        </is>
      </c>
      <c r="I8" s="16" t="inlineStr">
        <is>
          <t>&gt;1500 只；&gt;70 家</t>
        </is>
      </c>
      <c r="J8" s="16" t="inlineStr"/>
      <c r="K8" s="16" t="inlineStr">
        <is>
          <t>"力学传感器"含关节力矩，未拆分六维力</t>
        </is>
      </c>
      <c r="L8" s="16" t="inlineStr">
        <is>
          <t>http://file.finance.sina.com.cn/211.154.219.97:9494/MRGG/CNSESH_STOCK/2026/2026-5/2026-05-30/12362018.PDF</t>
        </is>
      </c>
      <c r="M8" s="16" t="inlineStr">
        <is>
          <t>高</t>
        </is>
      </c>
    </row>
    <row r="9">
      <c r="A9" s="16" t="inlineStr">
        <is>
          <t>C-08</t>
        </is>
      </c>
      <c r="B9" s="16" t="inlineStr">
        <is>
          <t>公司</t>
        </is>
      </c>
      <c r="C9" s="16" t="inlineStr">
        <is>
          <t>柯力传感</t>
        </is>
      </c>
      <c r="D9" s="16" t="inlineStr">
        <is>
          <t>人形批量出货</t>
        </is>
      </c>
      <c r="E9" s="16" t="inlineStr">
        <is>
          <t>AI理疗及开普勒人形机器人产品均实现数百台批量出货</t>
        </is>
      </c>
      <c r="F9" s="16" t="inlineStr">
        <is>
          <t>同上（问题 2）</t>
        </is>
      </c>
      <c r="G9" s="16" t="inlineStr">
        <is>
          <t>2026-05-29</t>
        </is>
      </c>
      <c r="H9" s="16" t="inlineStr">
        <is>
          <t>实际</t>
        </is>
      </c>
      <c r="I9" s="16" t="inlineStr">
        <is>
          <t>数百台</t>
        </is>
      </c>
      <c r="J9" s="16" t="inlineStr">
        <is>
          <t>假设：柯力传感 2030E 份额</t>
        </is>
      </c>
      <c r="K9" s="16" t="inlineStr">
        <is>
          <t>开普勒是柯力参股公司，属关联方，不是独立第三方客户</t>
        </is>
      </c>
      <c r="L9" s="16" t="inlineStr">
        <is>
          <t>同上</t>
        </is>
      </c>
      <c r="M9" s="16" t="inlineStr">
        <is>
          <t>高</t>
        </is>
      </c>
    </row>
    <row r="10">
      <c r="A10" s="16" t="inlineStr">
        <is>
          <t>C-09</t>
        </is>
      </c>
      <c r="B10" s="16" t="inlineStr">
        <is>
          <t>公司</t>
        </is>
      </c>
      <c r="C10" s="16" t="inlineStr">
        <is>
          <t>柯力传感</t>
        </is>
      </c>
      <c r="D10" s="16" t="inlineStr">
        <is>
          <t>间接进入车企链</t>
        </is>
      </c>
      <c r="E10" s="16" t="inlineStr">
        <is>
          <t>部分传感器产品经下游客户间接进入小鹏供应链</t>
        </is>
      </c>
      <c r="F10" s="16" t="inlineStr">
        <is>
          <t>同上（问题 6）</t>
        </is>
      </c>
      <c r="G10" s="16" t="inlineStr">
        <is>
          <t>2026-05-29</t>
        </is>
      </c>
      <c r="H10" s="16" t="inlineStr">
        <is>
          <t>实际</t>
        </is>
      </c>
      <c r="I10" s="16" t="inlineStr">
        <is>
          <t>—</t>
        </is>
      </c>
      <c r="J10" s="16" t="inlineStr"/>
      <c r="K10" s="16" t="inlineStr">
        <is>
          <t>间接供货；未说明是否为六维力</t>
        </is>
      </c>
      <c r="L10" s="16" t="inlineStr">
        <is>
          <t>同上</t>
        </is>
      </c>
      <c r="M10" s="16" t="inlineStr">
        <is>
          <t>高</t>
        </is>
      </c>
    </row>
    <row r="11">
      <c r="A11" s="16" t="inlineStr">
        <is>
          <t>C-10</t>
        </is>
      </c>
      <c r="B11" s="16" t="inlineStr">
        <is>
          <t>公司</t>
        </is>
      </c>
      <c r="C11" s="16" t="inlineStr">
        <is>
          <t>柯力传感</t>
        </is>
      </c>
      <c r="D11" s="16" t="inlineStr">
        <is>
          <t>产能</t>
        </is>
      </c>
      <c r="E11" s="16" t="inlineStr">
        <is>
          <t>产能方面不断提高（未给具体数字）</t>
        </is>
      </c>
      <c r="F11" s="16" t="inlineStr">
        <is>
          <t>同上（问题 5）</t>
        </is>
      </c>
      <c r="G11" s="16" t="inlineStr">
        <is>
          <t>2026-05-29</t>
        </is>
      </c>
      <c r="H11" s="16" t="inlineStr">
        <is>
          <t>实际（定性）</t>
        </is>
      </c>
      <c r="I11" s="16" t="inlineStr">
        <is>
          <t>未披露</t>
        </is>
      </c>
      <c r="J11" s="16" t="inlineStr"/>
      <c r="K11" s="16" t="inlineStr">
        <is>
          <t>投资者直接问产能，公司回避</t>
        </is>
      </c>
      <c r="L11" s="16" t="inlineStr">
        <is>
          <t>同上</t>
        </is>
      </c>
      <c r="M11" s="16" t="inlineStr">
        <is>
          <t>高</t>
        </is>
      </c>
    </row>
    <row r="12">
      <c r="A12" s="16" t="inlineStr">
        <is>
          <t>C-11</t>
        </is>
      </c>
      <c r="B12" s="16" t="inlineStr">
        <is>
          <t>公司</t>
        </is>
      </c>
      <c r="C12" s="16" t="inlineStr">
        <is>
          <t>柯力传感</t>
        </is>
      </c>
      <c r="D12" s="16" t="inlineStr">
        <is>
          <t>批量订单 / 头部验证</t>
        </is>
      </c>
      <c r="E12" s="16" t="inlineStr">
        <is>
          <t>六维力部分客户已取得批量订单，多家头部客户处于验证阶段</t>
        </is>
      </c>
      <c r="F12" s="16" t="inlineStr">
        <is>
          <t>上证e互动</t>
        </is>
      </c>
      <c r="G12" s="16" t="inlineStr">
        <is>
          <t>2026-06-01</t>
        </is>
      </c>
      <c r="H12" s="16" t="inlineStr">
        <is>
          <t>实际</t>
        </is>
      </c>
      <c r="I12" s="16" t="inlineStr">
        <is>
          <t>—</t>
        </is>
      </c>
      <c r="J12" s="16" t="inlineStr"/>
      <c r="K12" s="16" t="inlineStr">
        <is>
          <t>收入占比仍较小</t>
        </is>
      </c>
      <c r="L12" s="16" t="inlineStr">
        <is>
          <t>https://finance.sina.com.cn/stock/relnews/cn/2026-06-01/doc-inhzxmem2262203.shtml</t>
        </is>
      </c>
      <c r="M12" s="16" t="inlineStr">
        <is>
          <t>高</t>
        </is>
      </c>
    </row>
    <row r="13">
      <c r="A13" s="16" t="inlineStr">
        <is>
          <t>C-12</t>
        </is>
      </c>
      <c r="B13" s="16" t="inlineStr">
        <is>
          <t>公司</t>
        </is>
      </c>
      <c r="C13" s="16" t="inlineStr">
        <is>
          <t>柯力传感</t>
        </is>
      </c>
      <c r="D13" s="16" t="inlineStr">
        <is>
          <t>26H1 出货</t>
        </is>
      </c>
      <c r="E13" s="16" t="inlineStr">
        <is>
          <t>1-6 月机器人力学传感器销售超 2000 只，超 25 年全年</t>
        </is>
      </c>
      <c r="F13" s="16" t="inlineStr">
        <is>
          <t>2026 半年报 p9（本地 PDF）</t>
        </is>
      </c>
      <c r="G13" s="16" t="inlineStr">
        <is>
          <t>2026-08-28</t>
        </is>
      </c>
      <c r="H13" s="16" t="inlineStr">
        <is>
          <t>实际</t>
        </is>
      </c>
      <c r="I13" s="16" t="inlineStr">
        <is>
          <t>&gt;2000 只</t>
        </is>
      </c>
      <c r="J13" s="16" t="inlineStr">
        <is>
          <t>假设：柯力传感 2026E 份额</t>
        </is>
      </c>
      <c r="K13" s="16" t="inlineStr">
        <is>
          <t>含关节力矩；未拆分六维力</t>
        </is>
      </c>
      <c r="L13" s="16" t="inlineStr">
        <is>
          <t>本地 PDF；https://stockmc.xueqiu.com/202608/603662_20260828_010I.pdf</t>
        </is>
      </c>
      <c r="M13" s="16" t="inlineStr">
        <is>
          <t>高</t>
        </is>
      </c>
    </row>
    <row r="14">
      <c r="A14" s="16" t="inlineStr">
        <is>
          <t>C-13</t>
        </is>
      </c>
      <c r="B14" s="16" t="inlineStr">
        <is>
          <t>公司</t>
        </is>
      </c>
      <c r="C14" s="16" t="inlineStr">
        <is>
          <t>柯力传感</t>
        </is>
      </c>
      <c r="D14" s="16" t="inlineStr">
        <is>
          <t>月订单</t>
        </is>
      </c>
      <c r="E14" s="16" t="inlineStr">
        <is>
          <t>自 4 月份以来，月订单量持续突破千只</t>
        </is>
      </c>
      <c r="F14" s="16" t="inlineStr">
        <is>
          <t>2026 半年报 p9</t>
        </is>
      </c>
      <c r="G14" s="16" t="inlineStr">
        <is>
          <t>2026-08-28</t>
        </is>
      </c>
      <c r="H14" s="16" t="inlineStr">
        <is>
          <t>实际</t>
        </is>
      </c>
      <c r="I14" s="16" t="inlineStr">
        <is>
          <t>&gt;1000 只/月</t>
        </is>
      </c>
      <c r="J14" s="16" t="inlineStr"/>
      <c r="K14" s="16" t="inlineStr">
        <is>
          <t>是订单量，不等于交付量</t>
        </is>
      </c>
      <c r="L14" s="16" t="inlineStr">
        <is>
          <t>同上</t>
        </is>
      </c>
      <c r="M14" s="16" t="inlineStr">
        <is>
          <t>高</t>
        </is>
      </c>
    </row>
    <row r="15">
      <c r="A15" s="16" t="inlineStr">
        <is>
          <t>C-14</t>
        </is>
      </c>
      <c r="B15" s="16" t="inlineStr">
        <is>
          <t>公司</t>
        </is>
      </c>
      <c r="C15" s="16" t="inlineStr">
        <is>
          <t>柯力传感</t>
        </is>
      </c>
      <c r="D15" s="16" t="inlineStr">
        <is>
          <t>送样客户</t>
        </is>
      </c>
      <c r="E15" s="16" t="inlineStr">
        <is>
          <t>累计向超 90 家人形、协作、工业机器人企业送样</t>
        </is>
      </c>
      <c r="F15" s="16" t="inlineStr">
        <is>
          <t>2026 半年报 p9</t>
        </is>
      </c>
      <c r="G15" s="16" t="inlineStr">
        <is>
          <t>2026-08-28</t>
        </is>
      </c>
      <c r="H15" s="16" t="inlineStr">
        <is>
          <t>实际</t>
        </is>
      </c>
      <c r="I15" s="16" t="inlineStr">
        <is>
          <t>&gt;90 家</t>
        </is>
      </c>
      <c r="J15" s="16" t="inlineStr">
        <is>
          <t>假设：柯力传感 2030E 份额</t>
        </is>
      </c>
      <c r="K15" s="16" t="inlineStr">
        <is>
          <t>送样客户数从 50+（25H1）、70+（25 年）增至 90+</t>
        </is>
      </c>
      <c r="L15" s="16" t="inlineStr">
        <is>
          <t>同上</t>
        </is>
      </c>
      <c r="M15" s="16" t="inlineStr">
        <is>
          <t>高</t>
        </is>
      </c>
    </row>
    <row r="16">
      <c r="A16" s="16" t="inlineStr">
        <is>
          <t>C-15</t>
        </is>
      </c>
      <c r="B16" s="16" t="inlineStr">
        <is>
          <t>公司</t>
        </is>
      </c>
      <c r="C16" s="16" t="inlineStr">
        <is>
          <t>柯力传感</t>
        </is>
      </c>
      <c r="D16" s="16" t="inlineStr">
        <is>
          <t>阶段定性</t>
        </is>
      </c>
      <c r="E16" s="16" t="inlineStr">
        <is>
          <t>由小批量生产加快向批量化供应过渡</t>
        </is>
      </c>
      <c r="F16" s="16" t="inlineStr">
        <is>
          <t>2026 半年报 p9</t>
        </is>
      </c>
      <c r="G16" s="16" t="inlineStr">
        <is>
          <t>2026-08-28</t>
        </is>
      </c>
      <c r="H16" s="16" t="inlineStr">
        <is>
          <t>实际</t>
        </is>
      </c>
      <c r="I16" s="16" t="inlineStr">
        <is>
          <t>—</t>
        </is>
      </c>
      <c r="J16" s="16" t="inlineStr">
        <is>
          <t>假设：柯力传感 2030E 份额</t>
        </is>
      </c>
      <c r="K16" s="16" t="inlineStr">
        <is>
          <t>尚未达到"大批量 / 定点"</t>
        </is>
      </c>
      <c r="L16" s="16" t="inlineStr">
        <is>
          <t>同上</t>
        </is>
      </c>
      <c r="M16" s="16" t="inlineStr">
        <is>
          <t>高</t>
        </is>
      </c>
    </row>
    <row r="17">
      <c r="A17" s="16" t="inlineStr">
        <is>
          <t>C-16</t>
        </is>
      </c>
      <c r="B17" s="16" t="inlineStr">
        <is>
          <t>公司</t>
        </is>
      </c>
      <c r="C17" s="16" t="inlineStr">
        <is>
          <t>柯力传感</t>
        </is>
      </c>
      <c r="D17" s="16" t="inlineStr">
        <is>
          <t>头部客户</t>
        </is>
      </c>
      <c r="E17" s="16" t="inlineStr">
        <is>
          <t>部分客户已取得批量订单，多家头部客户处于验证阶段</t>
        </is>
      </c>
      <c r="F17" s="16" t="inlineStr">
        <is>
          <t>2026 半年报 p9 / p11</t>
        </is>
      </c>
      <c r="G17" s="16" t="inlineStr">
        <is>
          <t>2026-08-28</t>
        </is>
      </c>
      <c r="H17" s="16" t="inlineStr">
        <is>
          <t>实际</t>
        </is>
      </c>
      <c r="I17" s="16" t="inlineStr">
        <is>
          <t>—</t>
        </is>
      </c>
      <c r="J17" s="16" t="inlineStr">
        <is>
          <t>假设：柯力传感 2030E 份额</t>
        </is>
      </c>
      <c r="K17" s="16" t="inlineStr">
        <is>
          <t>未披露客户名、定点或长期协议</t>
        </is>
      </c>
      <c r="L17" s="16" t="inlineStr">
        <is>
          <t>同上</t>
        </is>
      </c>
      <c r="M17" s="16" t="inlineStr">
        <is>
          <t>高</t>
        </is>
      </c>
    </row>
    <row r="18">
      <c r="A18" s="16" t="inlineStr">
        <is>
          <t>C-17</t>
        </is>
      </c>
      <c r="B18" s="16" t="inlineStr">
        <is>
          <t>公司</t>
        </is>
      </c>
      <c r="C18" s="16" t="inlineStr">
        <is>
          <t>柯力传感</t>
        </is>
      </c>
      <c r="D18" s="16" t="inlineStr">
        <is>
          <t>整车链</t>
        </is>
      </c>
      <c r="E18" s="16" t="inlineStr">
        <is>
          <t>部分传感器已通过下游客户间接进入整车企业供应链</t>
        </is>
      </c>
      <c r="F18" s="16" t="inlineStr">
        <is>
          <t>2026 半年报 p9</t>
        </is>
      </c>
      <c r="G18" s="16" t="inlineStr">
        <is>
          <t>2026-08-28</t>
        </is>
      </c>
      <c r="H18" s="16" t="inlineStr">
        <is>
          <t>实际</t>
        </is>
      </c>
      <c r="I18" s="16" t="inlineStr">
        <is>
          <t>—</t>
        </is>
      </c>
      <c r="J18" s="16" t="inlineStr"/>
      <c r="K18" s="16" t="inlineStr">
        <is>
          <t>与 C-09 小鹏对应</t>
        </is>
      </c>
      <c r="L18" s="16" t="inlineStr">
        <is>
          <t>同上</t>
        </is>
      </c>
      <c r="M18" s="16" t="inlineStr">
        <is>
          <t>高</t>
        </is>
      </c>
    </row>
    <row r="19">
      <c r="A19" s="16" t="inlineStr">
        <is>
          <t>C-18</t>
        </is>
      </c>
      <c r="B19" s="16" t="inlineStr">
        <is>
          <t>公司</t>
        </is>
      </c>
      <c r="C19" s="16" t="inlineStr">
        <is>
          <t>柯力传感</t>
        </is>
      </c>
      <c r="D19" s="16" t="inlineStr">
        <is>
          <t>产线</t>
        </is>
      </c>
      <c r="E19" s="16" t="inlineStr">
        <is>
          <t>自动化标定与检测产线运行稳定，产能持续提升</t>
        </is>
      </c>
      <c r="F19" s="16" t="inlineStr">
        <is>
          <t>2026 半年报 p9 / p11</t>
        </is>
      </c>
      <c r="G19" s="16" t="inlineStr">
        <is>
          <t>2026-08-28</t>
        </is>
      </c>
      <c r="H19" s="16" t="inlineStr">
        <is>
          <t>实际（定性）</t>
        </is>
      </c>
      <c r="I19" s="16" t="inlineStr">
        <is>
          <t>未披露</t>
        </is>
      </c>
      <c r="J19" s="16" t="inlineStr"/>
      <c r="K19" s="16" t="inlineStr">
        <is>
          <t>机器人传感器产能无数字；"年产传感器 300 万台"是全公司口径</t>
        </is>
      </c>
      <c r="L19" s="16" t="inlineStr">
        <is>
          <t>同上</t>
        </is>
      </c>
      <c r="M19" s="16" t="inlineStr">
        <is>
          <t>高</t>
        </is>
      </c>
    </row>
    <row r="20">
      <c r="A20" s="16" t="inlineStr">
        <is>
          <t>C-19</t>
        </is>
      </c>
      <c r="B20" s="16" t="inlineStr">
        <is>
          <t>公司</t>
        </is>
      </c>
      <c r="C20" s="16" t="inlineStr">
        <is>
          <t>柯力传感</t>
        </is>
      </c>
      <c r="D20" s="16" t="inlineStr">
        <is>
          <t>技术</t>
        </is>
      </c>
      <c r="E20" s="16" t="inlineStr">
        <is>
          <t>掌握六维力结构解耦、算法解耦、高速采样等技术</t>
        </is>
      </c>
      <c r="F20" s="16" t="inlineStr">
        <is>
          <t>2026 半年报 p11</t>
        </is>
      </c>
      <c r="G20" s="16" t="inlineStr">
        <is>
          <t>2026-08-28</t>
        </is>
      </c>
      <c r="H20" s="16" t="inlineStr">
        <is>
          <t>实际（自述）</t>
        </is>
      </c>
      <c r="I20" s="16" t="inlineStr">
        <is>
          <t>—</t>
        </is>
      </c>
      <c r="J20" s="16" t="inlineStr"/>
      <c r="K20" s="16" t="inlineStr">
        <is>
          <t>自述</t>
        </is>
      </c>
      <c r="L20" s="16" t="inlineStr">
        <is>
          <t>同上</t>
        </is>
      </c>
      <c r="M20" s="16" t="inlineStr">
        <is>
          <t>高</t>
        </is>
      </c>
    </row>
    <row r="21">
      <c r="A21" s="16" t="inlineStr">
        <is>
          <t>C-20</t>
        </is>
      </c>
      <c r="B21" s="16" t="inlineStr">
        <is>
          <t>公司</t>
        </is>
      </c>
      <c r="C21" s="16" t="inlineStr">
        <is>
          <t>柯力传感</t>
        </is>
      </c>
      <c r="D21" s="16" t="inlineStr">
        <is>
          <t>下半年计划</t>
        </is>
      </c>
      <c r="E21" s="16" t="inlineStr">
        <is>
          <t>聚焦机器人传感器，推进重点客户突破、产能提升</t>
        </is>
      </c>
      <c r="F21" s="16" t="inlineStr">
        <is>
          <t>2026 半年报 p10</t>
        </is>
      </c>
      <c r="G21" s="16" t="inlineStr">
        <is>
          <t>2026-08-28</t>
        </is>
      </c>
      <c r="H21" s="16" t="inlineStr">
        <is>
          <t>计划</t>
        </is>
      </c>
      <c r="I21" s="16" t="inlineStr">
        <is>
          <t>—</t>
        </is>
      </c>
      <c r="J21" s="16" t="inlineStr"/>
      <c r="K21" s="16" t="inlineStr">
        <is>
          <t>无量化目标</t>
        </is>
      </c>
      <c r="L21" s="16" t="inlineStr">
        <is>
          <t>同上</t>
        </is>
      </c>
      <c r="M21" s="16" t="inlineStr">
        <is>
          <t>高</t>
        </is>
      </c>
    </row>
    <row r="22">
      <c r="A22" s="16" t="inlineStr">
        <is>
          <t>C-21</t>
        </is>
      </c>
      <c r="B22" s="16" t="inlineStr">
        <is>
          <t>公司</t>
        </is>
      </c>
      <c r="C22" s="16" t="inlineStr">
        <is>
          <t>柯力传感</t>
        </is>
      </c>
      <c r="D22" s="16" t="inlineStr">
        <is>
          <t>2026 全年出货预期</t>
        </is>
      </c>
      <c r="E22" s="16" t="inlineStr">
        <is>
          <t>力传感月出货上千台，全年有望达 1.2 万只</t>
        </is>
      </c>
      <c r="F22" s="16" t="inlineStr">
        <is>
          <t>国金证券研报摘要</t>
        </is>
      </c>
      <c r="G22" s="16" t="inlineStr">
        <is>
          <t>2026-04-29</t>
        </is>
      </c>
      <c r="H22" s="16" t="inlineStr">
        <is>
          <t>测算（券商）</t>
        </is>
      </c>
      <c r="I22" s="16" t="inlineStr">
        <is>
          <t>1.2 万只</t>
        </is>
      </c>
      <c r="J22" s="16" t="inlineStr">
        <is>
          <t>假设：柯力传感 2026E 份额</t>
        </is>
      </c>
      <c r="K22" s="16" t="inlineStr">
        <is>
          <t>是券商预期，不是公司指引</t>
        </is>
      </c>
      <c r="L22" s="16" t="inlineStr">
        <is>
          <t>https://www.ai-gupiao.com/research/summary/32112</t>
        </is>
      </c>
      <c r="M22" s="16" t="inlineStr">
        <is>
          <t>中</t>
        </is>
      </c>
    </row>
    <row r="23">
      <c r="A23" s="16" t="inlineStr">
        <is>
          <t>C-22</t>
        </is>
      </c>
      <c r="B23" s="16" t="inlineStr">
        <is>
          <t>公司</t>
        </is>
      </c>
      <c r="C23" s="16" t="inlineStr">
        <is>
          <t>柯力传感</t>
        </is>
      </c>
      <c r="D23" s="16" t="inlineStr">
        <is>
          <t>单价 / 产能（传闻）</t>
        </is>
      </c>
      <c r="E23" s="16" t="inlineStr">
        <is>
          <t>宁波六维力年产能 10 万套；单价 8000-12000 元；特斯拉目标价 1800 美元</t>
        </is>
      </c>
      <c r="F23" s="16" t="inlineStr">
        <is>
          <t>雪球、股吧</t>
        </is>
      </c>
      <c r="G23" s="16" t="inlineStr">
        <is>
          <t>2025-2026</t>
        </is>
      </c>
      <c r="H23" s="16" t="inlineStr">
        <is>
          <t>传闻</t>
        </is>
      </c>
      <c r="I23" s="16" t="inlineStr">
        <is>
          <t>—</t>
        </is>
      </c>
      <c r="J23" s="16" t="inlineStr"/>
      <c r="K23" s="16" t="inlineStr">
        <is>
          <t>无官方出处，仅作线索</t>
        </is>
      </c>
      <c r="L23" s="16" t="inlineStr">
        <is>
          <t>https://xueqiu.com/9812945708/351864145</t>
        </is>
      </c>
      <c r="M23" s="16" t="inlineStr">
        <is>
          <t>低</t>
        </is>
      </c>
    </row>
    <row r="24">
      <c r="A24" s="16" t="inlineStr">
        <is>
          <t>C-23</t>
        </is>
      </c>
      <c r="B24" s="16" t="inlineStr">
        <is>
          <t>公司</t>
        </is>
      </c>
      <c r="C24" s="16" t="inlineStr">
        <is>
          <t>柯力传感</t>
        </is>
      </c>
      <c r="D24" s="16" t="inlineStr">
        <is>
          <t>客户（传闻）</t>
        </is>
      </c>
      <c r="E24" s="16" t="inlineStr">
        <is>
          <t>向特斯拉送样六维力</t>
        </is>
      </c>
      <c r="F24" s="16" t="inlineStr">
        <is>
          <t>雪球</t>
        </is>
      </c>
      <c r="G24" s="16" t="inlineStr">
        <is>
          <t>2025</t>
        </is>
      </c>
      <c r="H24" s="16" t="inlineStr">
        <is>
          <t>传闻</t>
        </is>
      </c>
      <c r="I24" s="16" t="inlineStr">
        <is>
          <t>—</t>
        </is>
      </c>
      <c r="J24" s="16" t="inlineStr"/>
      <c r="K24" s="16" t="inlineStr">
        <is>
          <t>公司在业绩会上对宇树、华为、特斯拉提问不置可否</t>
        </is>
      </c>
      <c r="L24" s="16" t="inlineStr">
        <is>
          <t>同上</t>
        </is>
      </c>
      <c r="M24" s="16" t="inlineStr">
        <is>
          <t>低</t>
        </is>
      </c>
    </row>
    <row r="25">
      <c r="A25" s="16" t="inlineStr">
        <is>
          <t>C-24</t>
        </is>
      </c>
      <c r="B25" s="16" t="inlineStr">
        <is>
          <t>公司</t>
        </is>
      </c>
      <c r="C25" s="16" t="inlineStr">
        <is>
          <t>柯力传感</t>
        </is>
      </c>
      <c r="D25" s="16" t="inlineStr">
        <is>
          <t>2025 营收 / 利润</t>
        </is>
      </c>
      <c r="E25" s="16" t="inlineStr">
        <is>
          <t>营收 15.58 亿 +20.33%；归母 3.41 亿 +30.73%；扣非 2.14 亿 +11.06%</t>
        </is>
      </c>
      <c r="F25" s="16" t="inlineStr">
        <is>
          <t>2025 年报（媒体转述）</t>
        </is>
      </c>
      <c r="G25" s="16" t="inlineStr">
        <is>
          <t>2026-04-27</t>
        </is>
      </c>
      <c r="H25" s="16" t="inlineStr">
        <is>
          <t>实际</t>
        </is>
      </c>
      <c r="I25" s="16" t="inlineStr">
        <is>
          <t>见左</t>
        </is>
      </c>
      <c r="J25" s="16" t="inlineStr">
        <is>
          <t>假设：柯力传感 原有业务净利润（2025 扣非）</t>
        </is>
      </c>
      <c r="K25" s="16" t="inlineStr">
        <is>
          <t>归母含大额公允价值收益</t>
        </is>
      </c>
      <c r="L25" s="16" t="inlineStr">
        <is>
          <t>https://m.jiemian.com/article/14335991.html</t>
        </is>
      </c>
      <c r="M25" s="16" t="inlineStr">
        <is>
          <t>中</t>
        </is>
      </c>
    </row>
    <row r="26">
      <c r="A26" s="16" t="inlineStr">
        <is>
          <t>C-25</t>
        </is>
      </c>
      <c r="B26" s="16" t="inlineStr">
        <is>
          <t>公司</t>
        </is>
      </c>
      <c r="C26" s="16" t="inlineStr">
        <is>
          <t>柯力传感</t>
        </is>
      </c>
      <c r="D26" s="16" t="inlineStr">
        <is>
          <t>2025 毛利率</t>
        </is>
      </c>
      <c r="E26" s="16" t="inlineStr">
        <is>
          <t>毛利率 44.83%，同比 +1.71pct</t>
        </is>
      </c>
      <c r="F26" s="16" t="inlineStr">
        <is>
          <t>年报（媒体转述）</t>
        </is>
      </c>
      <c r="G26" s="16" t="inlineStr">
        <is>
          <t>2026-04</t>
        </is>
      </c>
      <c r="H26" s="16" t="inlineStr">
        <is>
          <t>实际</t>
        </is>
      </c>
      <c r="I26" s="16" t="inlineStr">
        <is>
          <t>44.83%</t>
        </is>
      </c>
      <c r="J26" s="16" t="inlineStr">
        <is>
          <t>假设：相关业务毛利率</t>
        </is>
      </c>
      <c r="K26" s="16" t="inlineStr">
        <is>
          <t>未读年报原文</t>
        </is>
      </c>
      <c r="L26" s="16" t="inlineStr">
        <is>
          <t>同上</t>
        </is>
      </c>
      <c r="M26" s="16" t="inlineStr">
        <is>
          <t>中</t>
        </is>
      </c>
    </row>
    <row r="27">
      <c r="A27" s="16" t="inlineStr">
        <is>
          <t>C-26</t>
        </is>
      </c>
      <c r="B27" s="16" t="inlineStr">
        <is>
          <t>公司</t>
        </is>
      </c>
      <c r="C27" s="16" t="inlineStr">
        <is>
          <t>柯力传感</t>
        </is>
      </c>
      <c r="D27" s="16" t="inlineStr">
        <is>
          <t>2025 分业务</t>
        </is>
      </c>
      <c r="E27" s="16" t="inlineStr">
        <is>
          <t>传统力学传感器及仪表 6.20 亿（-1.73%）；其他物理量传感器 2.52 亿；工业物联网及系统集成 5.89 亿，毛利率 47.93%</t>
        </is>
      </c>
      <c r="F27" s="16" t="inlineStr">
        <is>
          <t>华创证券研报摘要</t>
        </is>
      </c>
      <c r="G27" s="16" t="inlineStr">
        <is>
          <t>2026-04-30</t>
        </is>
      </c>
      <c r="H27" s="16" t="inlineStr">
        <is>
          <t>实际（转述）</t>
        </is>
      </c>
      <c r="I27" s="16" t="inlineStr">
        <is>
          <t>见左</t>
        </is>
      </c>
      <c r="J27" s="16" t="inlineStr"/>
      <c r="K27" s="16" t="inlineStr">
        <is>
          <t>机器人传感器未单列</t>
        </is>
      </c>
      <c r="L27" s="16" t="inlineStr">
        <is>
          <t>https://m.hibor.com.cn/wap_detail.aspx?id=ef8780a0618131fed1cbc6d8f62d007a</t>
        </is>
      </c>
      <c r="M27" s="16" t="inlineStr">
        <is>
          <t>中</t>
        </is>
      </c>
    </row>
    <row r="28">
      <c r="A28" s="16" t="inlineStr">
        <is>
          <t>C-27</t>
        </is>
      </c>
      <c r="B28" s="16" t="inlineStr">
        <is>
          <t>公司</t>
        </is>
      </c>
      <c r="C28" s="16" t="inlineStr">
        <is>
          <t>柯力传感</t>
        </is>
      </c>
      <c r="D28" s="16" t="inlineStr">
        <is>
          <t>26H1 营收 / 利润</t>
        </is>
      </c>
      <c r="E28" s="16" t="inlineStr">
        <is>
          <t>营收 8.38 亿 +22.27%；归母 1.31 亿 -24.38%；扣非 1.36 亿 +24.89%</t>
        </is>
      </c>
      <c r="F28" s="16" t="inlineStr">
        <is>
          <t>2026 半年报 p5（本地 PDF）</t>
        </is>
      </c>
      <c r="G28" s="16" t="inlineStr">
        <is>
          <t>2026-08-28</t>
        </is>
      </c>
      <c r="H28" s="16" t="inlineStr">
        <is>
          <t>实际</t>
        </is>
      </c>
      <c r="I28" s="16" t="inlineStr">
        <is>
          <t>837,754,477.62 元 / 130,688,021.76 元 / 135,595,893.56 元</t>
        </is>
      </c>
      <c r="J28" s="16" t="inlineStr"/>
      <c r="K28" s="16" t="inlineStr">
        <is>
          <t>归母下降主要因驰诚股份公允价值下跌；营收增长主要因并购子公司并表</t>
        </is>
      </c>
      <c r="L28" s="16" t="inlineStr">
        <is>
          <t>本地 PDF</t>
        </is>
      </c>
      <c r="M28" s="16" t="inlineStr">
        <is>
          <t>高</t>
        </is>
      </c>
    </row>
    <row r="29">
      <c r="A29" s="16" t="inlineStr">
        <is>
          <t>C-28</t>
        </is>
      </c>
      <c r="B29" s="16" t="inlineStr">
        <is>
          <t>公司</t>
        </is>
      </c>
      <c r="C29" s="16" t="inlineStr">
        <is>
          <t>柯力传感</t>
        </is>
      </c>
      <c r="D29" s="16" t="inlineStr">
        <is>
          <t>26H1 毛利率</t>
        </is>
      </c>
      <c r="E29" s="16" t="inlineStr">
        <is>
          <t>营业收入 8.378 亿，营业成本 4.547 亿</t>
        </is>
      </c>
      <c r="F29" s="16" t="inlineStr">
        <is>
          <t>2026 半年报 p12</t>
        </is>
      </c>
      <c r="G29" s="16" t="inlineStr">
        <is>
          <t>2026-08-28</t>
        </is>
      </c>
      <c r="H29" s="16" t="inlineStr">
        <is>
          <t>测算</t>
        </is>
      </c>
      <c r="I29" s="16" t="inlineStr">
        <is>
          <t>45.72%</t>
        </is>
      </c>
      <c r="J29" s="16" t="inlineStr"/>
      <c r="K29" s="16" t="inlineStr">
        <is>
          <t>无传感器或机器人分部毛利率</t>
        </is>
      </c>
      <c r="L29" s="16" t="inlineStr">
        <is>
          <t>本地 PDF</t>
        </is>
      </c>
      <c r="M29" s="16" t="inlineStr">
        <is>
          <t>高</t>
        </is>
      </c>
    </row>
    <row r="30">
      <c r="A30" s="16" t="inlineStr">
        <is>
          <t>C-29</t>
        </is>
      </c>
      <c r="B30" s="16" t="inlineStr">
        <is>
          <t>公司</t>
        </is>
      </c>
      <c r="C30" s="16" t="inlineStr">
        <is>
          <t>柯力传感</t>
        </is>
      </c>
      <c r="D30" s="16" t="inlineStr">
        <is>
          <t>26H1 研发</t>
        </is>
      </c>
      <c r="E30" s="16" t="inlineStr">
        <is>
          <t>研发费用 7,343 万，+14.32%</t>
        </is>
      </c>
      <c r="F30" s="16" t="inlineStr">
        <is>
          <t>2026 半年报 p12</t>
        </is>
      </c>
      <c r="G30" s="16" t="inlineStr">
        <is>
          <t>2026-08-28</t>
        </is>
      </c>
      <c r="H30" s="16" t="inlineStr">
        <is>
          <t>实际</t>
        </is>
      </c>
      <c r="I30" s="16" t="inlineStr">
        <is>
          <t>0.73 亿</t>
        </is>
      </c>
      <c r="J30" s="16" t="inlineStr"/>
      <c r="K30" s="16" t="inlineStr">
        <is>
          <t>—</t>
        </is>
      </c>
      <c r="L30" s="16" t="inlineStr">
        <is>
          <t>本地 PDF</t>
        </is>
      </c>
      <c r="M30" s="16" t="inlineStr">
        <is>
          <t>高</t>
        </is>
      </c>
    </row>
    <row r="31">
      <c r="A31" s="16" t="inlineStr">
        <is>
          <t>C-30</t>
        </is>
      </c>
      <c r="B31" s="16" t="inlineStr">
        <is>
          <t>公司</t>
        </is>
      </c>
      <c r="C31" s="16" t="inlineStr">
        <is>
          <t>柯力传感</t>
        </is>
      </c>
      <c r="D31" s="16" t="inlineStr">
        <is>
          <t>市值 / PE</t>
        </is>
      </c>
      <c r="E31" s="16" t="inlineStr">
        <is>
          <t>总市值约 122 亿元；PE（动态）46.77，PE（静态）35.90</t>
        </is>
      </c>
      <c r="F31" s="16" t="inlineStr">
        <is>
          <t>同花顺 F10</t>
        </is>
      </c>
      <c r="G31" s="16" t="inlineStr">
        <is>
          <t>2026-10-20 查询（页面未标行情日期，融资融券数据截至 10-19）</t>
        </is>
      </c>
      <c r="H31" s="16" t="inlineStr">
        <is>
          <t>实际</t>
        </is>
      </c>
      <c r="I31" s="16" t="inlineStr">
        <is>
          <t>122 亿 / 46.8x</t>
        </is>
      </c>
      <c r="J31" s="16" t="inlineStr">
        <is>
          <t>（已由 F 系列 2026-10-19 统一口径复核取代）</t>
        </is>
      </c>
      <c r="K31" s="16" t="inlineStr">
        <is>
          <t>页面编码异常，取值以行情软件为准</t>
        </is>
      </c>
      <c r="L31" s="16" t="inlineStr">
        <is>
          <t>https://basic.10jqka.com.cn/603662/</t>
        </is>
      </c>
      <c r="M31" s="16" t="inlineStr">
        <is>
          <t>中</t>
        </is>
      </c>
    </row>
    <row r="32">
      <c r="A32" s="16" t="inlineStr">
        <is>
          <t>C-31</t>
        </is>
      </c>
      <c r="B32" s="16" t="inlineStr">
        <is>
          <t>公司</t>
        </is>
      </c>
      <c r="C32" s="16" t="inlineStr">
        <is>
          <t>安培龙</t>
        </is>
      </c>
      <c r="D32" s="16" t="inlineStr">
        <is>
          <t>力矩传感器小批量</t>
        </is>
      </c>
      <c r="E32" s="16" t="inlineStr">
        <is>
          <t>机器人用力矩传感器已接小批量订单，交付验证中</t>
        </is>
      </c>
      <c r="F32" s="16" t="inlineStr">
        <is>
          <t>互动易（媒体转述）</t>
        </is>
      </c>
      <c r="G32" s="16" t="inlineStr">
        <is>
          <t>2024-12-04</t>
        </is>
      </c>
      <c r="H32" s="16" t="inlineStr">
        <is>
          <t>实际</t>
        </is>
      </c>
      <c r="I32" s="16" t="inlineStr">
        <is>
          <t>—</t>
        </is>
      </c>
      <c r="J32" s="16" t="inlineStr"/>
      <c r="K32" s="16" t="inlineStr">
        <is>
          <t>是力矩传感器，不是六维力</t>
        </is>
      </c>
      <c r="L32" s="16" t="inlineStr">
        <is>
          <t>https://news.qq.com/rain/a/20241204A05O7S00</t>
        </is>
      </c>
      <c r="M32" s="16" t="inlineStr">
        <is>
          <t>中</t>
        </is>
      </c>
    </row>
    <row r="33">
      <c r="A33" s="16" t="inlineStr">
        <is>
          <t>C-32</t>
        </is>
      </c>
      <c r="B33" s="16" t="inlineStr">
        <is>
          <t>公司</t>
        </is>
      </c>
      <c r="C33" s="16" t="inlineStr">
        <is>
          <t>安培龙</t>
        </is>
      </c>
      <c r="D33" s="16" t="inlineStr">
        <is>
          <t>六维力研发</t>
        </is>
      </c>
      <c r="E33" s="16" t="inlineStr">
        <is>
          <t>六维力传感器处于样品研发阶段，尚未实现交样</t>
        </is>
      </c>
      <c r="F33" s="16" t="inlineStr">
        <is>
          <t>互动易</t>
        </is>
      </c>
      <c r="G33" s="16" t="inlineStr">
        <is>
          <t>2025-03-04</t>
        </is>
      </c>
      <c r="H33" s="16" t="inlineStr">
        <is>
          <t>实际</t>
        </is>
      </c>
      <c r="I33" s="16" t="inlineStr">
        <is>
          <t>—</t>
        </is>
      </c>
      <c r="J33" s="16" t="inlineStr"/>
      <c r="K33" s="16" t="inlineStr">
        <is>
          <t>—</t>
        </is>
      </c>
      <c r="L33" s="16" t="inlineStr">
        <is>
          <t>https://www.nbd.com.cn/articles/2025-03-04/3775443.html</t>
        </is>
      </c>
      <c r="M33" s="16" t="inlineStr">
        <is>
          <t>高</t>
        </is>
      </c>
    </row>
    <row r="34">
      <c r="A34" s="16" t="inlineStr">
        <is>
          <t>C-33</t>
        </is>
      </c>
      <c r="B34" s="16" t="inlineStr">
        <is>
          <t>公司</t>
        </is>
      </c>
      <c r="C34" s="16" t="inlineStr">
        <is>
          <t>安培龙</t>
        </is>
      </c>
      <c r="D34" s="16" t="inlineStr">
        <is>
          <t>六维力送样</t>
        </is>
      </c>
      <c r="E34" s="16" t="inlineStr">
        <is>
          <t>金属应变式六维力已完成开发，在部分人形及按摩机器人厂商送样</t>
        </is>
      </c>
      <c r="F34" s="16" t="inlineStr">
        <is>
          <t>互动易</t>
        </is>
      </c>
      <c r="G34" s="16" t="inlineStr">
        <is>
          <t>2025-08-21</t>
        </is>
      </c>
      <c r="H34" s="16" t="inlineStr">
        <is>
          <t>实际</t>
        </is>
      </c>
      <c r="I34" s="16" t="inlineStr">
        <is>
          <t>—</t>
        </is>
      </c>
      <c r="J34" s="16" t="inlineStr"/>
      <c r="K34" s="16" t="inlineStr">
        <is>
          <t>MEMS 路线当时仍在研发</t>
        </is>
      </c>
      <c r="L34" s="16" t="inlineStr">
        <is>
          <t>https://m.nbd.com.cn/articles/2025-08-21/4021837.html</t>
        </is>
      </c>
      <c r="M34" s="16" t="inlineStr">
        <is>
          <t>高</t>
        </is>
      </c>
    </row>
    <row r="35">
      <c r="A35" s="16" t="inlineStr">
        <is>
          <t>C-34</t>
        </is>
      </c>
      <c r="B35" s="16" t="inlineStr">
        <is>
          <t>公司</t>
        </is>
      </c>
      <c r="C35" s="16" t="inlineStr">
        <is>
          <t>安培龙</t>
        </is>
      </c>
      <c r="D35" s="16" t="inlineStr">
        <is>
          <t>特斯拉</t>
        </is>
      </c>
      <c r="E35" s="16" t="inlineStr">
        <is>
          <t>暂未给您所提及的公司送样六维力传感器</t>
        </is>
      </c>
      <c r="F35" s="16" t="inlineStr">
        <is>
          <t>互动易（媒体转述）</t>
        </is>
      </c>
      <c r="G35" s="16" t="inlineStr">
        <is>
          <t>2025-10-27</t>
        </is>
      </c>
      <c r="H35" s="16" t="inlineStr">
        <is>
          <t>实际</t>
        </is>
      </c>
      <c r="I35" s="16" t="inlineStr">
        <is>
          <t>—</t>
        </is>
      </c>
      <c r="J35" s="16" t="inlineStr"/>
      <c r="K35" s="16" t="inlineStr">
        <is>
          <t>否认了特斯拉送样</t>
        </is>
      </c>
      <c r="L35" s="16" t="inlineStr">
        <is>
          <t>转述，见搜索结果</t>
        </is>
      </c>
      <c r="M35" s="16" t="inlineStr">
        <is>
          <t>中</t>
        </is>
      </c>
    </row>
    <row r="36">
      <c r="A36" s="16" t="inlineStr">
        <is>
          <t>C-35</t>
        </is>
      </c>
      <c r="B36" s="16" t="inlineStr">
        <is>
          <t>公司</t>
        </is>
      </c>
      <c r="C36" s="16" t="inlineStr">
        <is>
          <t>安培龙</t>
        </is>
      </c>
      <c r="D36" s="16" t="inlineStr">
        <is>
          <t>募投产能</t>
        </is>
      </c>
      <c r="E36" s="16" t="inlineStr">
        <is>
          <t>定增力传感器产线项目新增年产约 50 万只，含六维力</t>
        </is>
      </c>
      <c r="F36" s="16" t="inlineStr">
        <is>
          <t>定增预案</t>
        </is>
      </c>
      <c r="G36" s="16" t="inlineStr">
        <is>
          <t>2026-01-07</t>
        </is>
      </c>
      <c r="H36" s="16" t="inlineStr">
        <is>
          <t>计划</t>
        </is>
      </c>
      <c r="I36" s="16" t="inlineStr">
        <is>
          <t>50 万只/年；达产毛利率 37.77%</t>
        </is>
      </c>
      <c r="J36" s="16" t="inlineStr">
        <is>
          <t>假设：相关业务毛利率；假设：安培龙 2030E 份额</t>
        </is>
      </c>
      <c r="K36" s="16" t="inlineStr">
        <is>
          <t>50 万只含拉压力和力矩传感器，未拆分六维力</t>
        </is>
      </c>
      <c r="L36" s="16" t="inlineStr">
        <is>
          <t>https://finance.sina.com.cn/stock/s/2026-01-08/doc-inhfpfxi7234461.shtml</t>
        </is>
      </c>
      <c r="M36" s="16" t="inlineStr">
        <is>
          <t>高</t>
        </is>
      </c>
    </row>
    <row r="37">
      <c r="A37" s="16" t="inlineStr">
        <is>
          <t>C-36</t>
        </is>
      </c>
      <c r="B37" s="16" t="inlineStr">
        <is>
          <t>公司</t>
        </is>
      </c>
      <c r="C37" s="16" t="inlineStr">
        <is>
          <t>安培龙</t>
        </is>
      </c>
      <c r="D37" s="16" t="inlineStr">
        <is>
          <t>定增进度</t>
        </is>
      </c>
      <c r="E37" s="16" t="inlineStr">
        <is>
          <t>深交所 5-28 审核通过；证监会 6-26 同意注册（证监许可〔2026〕1513 号）</t>
        </is>
      </c>
      <c r="F37" s="16" t="inlineStr">
        <is>
          <t>公司公告（媒体转述）</t>
        </is>
      </c>
      <c r="G37" s="16" t="inlineStr">
        <is>
          <t>2026-06-26</t>
        </is>
      </c>
      <c r="H37" s="16" t="inlineStr">
        <is>
          <t>实际</t>
        </is>
      </c>
      <c r="I37" s="16" t="inlineStr">
        <is>
          <t>募资 ≤5.44 亿</t>
        </is>
      </c>
      <c r="J37" s="16" t="inlineStr"/>
      <c r="K37" s="16" t="inlineStr">
        <is>
          <t>未查到发行完成信息</t>
        </is>
      </c>
      <c r="L37" s="16" t="inlineStr">
        <is>
          <t>https://app.myzaker.com/article/6a4637898e9f093a2657a73b</t>
        </is>
      </c>
      <c r="M37" s="16" t="inlineStr">
        <is>
          <t>中</t>
        </is>
      </c>
    </row>
    <row r="38">
      <c r="A38" s="16" t="inlineStr">
        <is>
          <t>C-37</t>
        </is>
      </c>
      <c r="B38" s="16" t="inlineStr">
        <is>
          <t>公司</t>
        </is>
      </c>
      <c r="C38" s="16" t="inlineStr">
        <is>
          <t>安培龙</t>
        </is>
      </c>
      <c r="D38" s="16" t="inlineStr">
        <is>
          <t>机器人力传感器批量</t>
        </is>
      </c>
      <c r="E38" s="16" t="inlineStr">
        <is>
          <t>公司用于机器人的力传感器产品已实现批量交付</t>
        </is>
      </c>
      <c r="F38" s="16" t="inlineStr">
        <is>
          <t>2026 半年报（PDF 原文）</t>
        </is>
      </c>
      <c r="G38" s="16" t="inlineStr">
        <is>
          <t>2026-08-28</t>
        </is>
      </c>
      <c r="H38" s="16" t="inlineStr">
        <is>
          <t>实际</t>
        </is>
      </c>
      <c r="I38" s="16" t="inlineStr">
        <is>
          <t>—</t>
        </is>
      </c>
      <c r="J38" s="16" t="inlineStr"/>
      <c r="K38" s="16" t="inlineStr">
        <is>
          <t>"力传感器"未限定为六维力</t>
        </is>
      </c>
      <c r="L38" s="16" t="inlineStr">
        <is>
          <t>http://file.finance.sina.com.cn/211.154.219.97:9494/MRGG/CNSESZ_STOCK/2026/2026-8/2026-08-28/12555790.PDF</t>
        </is>
      </c>
      <c r="M38" s="16" t="inlineStr">
        <is>
          <t>高</t>
        </is>
      </c>
    </row>
    <row r="39">
      <c r="A39" s="16" t="inlineStr">
        <is>
          <t>C-38</t>
        </is>
      </c>
      <c r="B39" s="16" t="inlineStr">
        <is>
          <t>公司</t>
        </is>
      </c>
      <c r="C39" s="16" t="inlineStr">
        <is>
          <t>安培龙</t>
        </is>
      </c>
      <c r="D39" s="16" t="inlineStr">
        <is>
          <t>六维力小批量</t>
        </is>
      </c>
      <c r="E39" s="16" t="inlineStr">
        <is>
          <t>六维力已完成开发……部分客户已处于小批量交付阶段</t>
        </is>
      </c>
      <c r="F39" s="16" t="inlineStr">
        <is>
          <t>投资者关系活动记录表 20260907（PDF）</t>
        </is>
      </c>
      <c r="G39" s="16" t="inlineStr">
        <is>
          <t>2026-09-07</t>
        </is>
      </c>
      <c r="H39" s="16" t="inlineStr">
        <is>
          <t>实际</t>
        </is>
      </c>
      <c r="I39" s="16" t="inlineStr">
        <is>
          <t>—</t>
        </is>
      </c>
      <c r="J39" s="16" t="inlineStr">
        <is>
          <t>假设：安培龙 2026E 份额</t>
        </is>
      </c>
      <c r="K39" s="16" t="inlineStr">
        <is>
          <t>不披露客户</t>
        </is>
      </c>
      <c r="L39" s="16" t="inlineStr">
        <is>
          <t>http://file.finance.sina.com.cn/211.154.219.97:9494/MRGG/CNSESZ_STOCK/2026/2026-9/2026-09-07/12587659.PDF</t>
        </is>
      </c>
      <c r="M39" s="16" t="inlineStr">
        <is>
          <t>高</t>
        </is>
      </c>
    </row>
    <row r="40">
      <c r="A40" s="16" t="inlineStr">
        <is>
          <t>C-39</t>
        </is>
      </c>
      <c r="B40" s="16" t="inlineStr">
        <is>
          <t>公司</t>
        </is>
      </c>
      <c r="C40" s="16" t="inlineStr">
        <is>
          <t>安培龙</t>
        </is>
      </c>
      <c r="D40" s="16" t="inlineStr">
        <is>
          <t>批量订单</t>
        </is>
      </c>
      <c r="E40" s="16" t="inlineStr">
        <is>
          <t>含两种路线六维力等；部分客户已取得批量订单并实现批量生产交付</t>
        </is>
      </c>
      <c r="F40" s="16" t="inlineStr">
        <is>
          <t>投资者关系活动记录表 20260930（编号 2026-010）</t>
        </is>
      </c>
      <c r="G40" s="16" t="inlineStr">
        <is>
          <t>2026-09-30</t>
        </is>
      </c>
      <c r="H40" s="16" t="inlineStr">
        <is>
          <t>实际</t>
        </is>
      </c>
      <c r="I40" s="16" t="inlineStr">
        <is>
          <t>—</t>
        </is>
      </c>
      <c r="J40" s="16" t="inlineStr">
        <is>
          <t>假设：安培龙 2026E 份额；假设：安培龙 2030E 份额</t>
        </is>
      </c>
      <c r="K40" s="16" t="inlineStr">
        <is>
          <t>同时声明收入占比低，不构成重大影响；未拆分哪类产品获批量</t>
        </is>
      </c>
      <c r="L40" s="16" t="inlineStr">
        <is>
          <t>http://file.finance.sina.com.cn/211.154.219.97:9494/MRGG/CNSESZ_STOCK/2026/2026-9/2026-09-30/12629237.PDF</t>
        </is>
      </c>
      <c r="M40" s="16" t="inlineStr">
        <is>
          <t>高</t>
        </is>
      </c>
    </row>
    <row r="41">
      <c r="A41" s="16" t="inlineStr">
        <is>
          <t>C-40</t>
        </is>
      </c>
      <c r="B41" s="16" t="inlineStr">
        <is>
          <t>公司</t>
        </is>
      </c>
      <c r="C41" s="16" t="inlineStr">
        <is>
          <t>安培龙</t>
        </is>
      </c>
      <c r="D41" s="16" t="inlineStr">
        <is>
          <t>平行业务：EMB 力传感器</t>
        </is>
      </c>
      <c r="E41" s="16" t="inlineStr">
        <is>
          <t>EMB 刹车力传感器获多家头部车企项目定点，产线已具备量产能力</t>
        </is>
      </c>
      <c r="F41" s="16" t="inlineStr">
        <is>
          <t>记录表 20260907</t>
        </is>
      </c>
      <c r="G41" s="16" t="inlineStr">
        <is>
          <t>2026-09-07</t>
        </is>
      </c>
      <c r="H41" s="16" t="inlineStr">
        <is>
          <t>实际（定点） / 计划（上量）</t>
        </is>
      </c>
      <c r="I41" s="16" t="inlineStr">
        <is>
          <t>超募资金 4,130.70 万元</t>
        </is>
      </c>
      <c r="J41" s="16" t="inlineStr"/>
      <c r="K41" s="16" t="inlineStr">
        <is>
          <t>是汽车业务，不是机器人业务，但工艺同源</t>
        </is>
      </c>
      <c r="L41" s="16" t="inlineStr">
        <is>
          <t>同 C-38</t>
        </is>
      </c>
      <c r="M41" s="16" t="inlineStr">
        <is>
          <t>高</t>
        </is>
      </c>
    </row>
    <row r="42">
      <c r="A42" s="16" t="inlineStr">
        <is>
          <t>C-41</t>
        </is>
      </c>
      <c r="B42" s="16" t="inlineStr">
        <is>
          <t>公司</t>
        </is>
      </c>
      <c r="C42" s="16" t="inlineStr">
        <is>
          <t>安培龙</t>
        </is>
      </c>
      <c r="D42" s="16" t="inlineStr">
        <is>
          <t>产业园（自媒体）</t>
        </is>
      </c>
      <c r="E42" s="16" t="inlineStr">
        <is>
          <t>坪山产业园投用，六维力产线具备批量生产能力；未见六维力批量合同</t>
        </is>
      </c>
      <c r="F42" s="16" t="inlineStr">
        <is>
          <t>东方财富财富号</t>
        </is>
      </c>
      <c r="G42" s="16" t="inlineStr">
        <is>
          <t>2026-05-31</t>
        </is>
      </c>
      <c r="H42" s="16" t="inlineStr">
        <is>
          <t>传闻</t>
        </is>
      </c>
      <c r="I42" s="16" t="inlineStr">
        <is>
          <t>—</t>
        </is>
      </c>
      <c r="J42" s="16" t="inlineStr"/>
      <c r="K42" s="16" t="inlineStr">
        <is>
          <t>自媒体</t>
        </is>
      </c>
      <c r="L42" s="16" t="inlineStr">
        <is>
          <t>https://caifuhao.eastmoney.com/news/20260531073015186482660</t>
        </is>
      </c>
      <c r="M42" s="16" t="inlineStr">
        <is>
          <t>低</t>
        </is>
      </c>
    </row>
    <row r="43">
      <c r="A43" s="16" t="inlineStr">
        <is>
          <t>C-42</t>
        </is>
      </c>
      <c r="B43" s="16" t="inlineStr">
        <is>
          <t>公司</t>
        </is>
      </c>
      <c r="C43" s="16" t="inlineStr">
        <is>
          <t>安培龙</t>
        </is>
      </c>
      <c r="D43" s="16" t="inlineStr">
        <is>
          <t>2025 营收 / 利润</t>
        </is>
      </c>
      <c r="E43" s="16" t="inlineStr">
        <is>
          <t>营收 11.83 亿 +25.88%；归母 9,074.52 万 +9.81%；扣非 8,091.58 万 +8.47%</t>
        </is>
      </c>
      <c r="F43" s="16" t="inlineStr">
        <is>
          <t>2025 年报（转述）</t>
        </is>
      </c>
      <c r="G43" s="16" t="inlineStr">
        <is>
          <t>2026-04-24</t>
        </is>
      </c>
      <c r="H43" s="16" t="inlineStr">
        <is>
          <t>实际</t>
        </is>
      </c>
      <c r="I43" s="16" t="inlineStr">
        <is>
          <t>见左</t>
        </is>
      </c>
      <c r="J43" s="16" t="inlineStr">
        <is>
          <t>假设：安培龙 原有业务净利润（2025 扣非）</t>
        </is>
      </c>
      <c r="K43" s="16" t="inlineStr">
        <is>
          <t>2025 综合毛利率未找到（2024 年为 32.24%）</t>
        </is>
      </c>
      <c r="L43" s="16" t="inlineStr">
        <is>
          <t>https://disc.static.szse.cn/disc/disk03/finalpage/2026-04-24/ff11e4e4-722d-45d3-a65d-665e0e72b301.PDF</t>
        </is>
      </c>
      <c r="M43" s="16" t="inlineStr">
        <is>
          <t>中</t>
        </is>
      </c>
    </row>
    <row r="44">
      <c r="A44" s="16" t="inlineStr">
        <is>
          <t>C-43</t>
        </is>
      </c>
      <c r="B44" s="16" t="inlineStr">
        <is>
          <t>公司</t>
        </is>
      </c>
      <c r="C44" s="16" t="inlineStr">
        <is>
          <t>安培龙</t>
        </is>
      </c>
      <c r="D44" s="16" t="inlineStr">
        <is>
          <t>26H1 营收 / 利润</t>
        </is>
      </c>
      <c r="E44" s="16" t="inlineStr">
        <is>
          <t>营收 5.93 亿 +7.14%；归母 350.15 万 -91.69%；扣非 374.12 万 -90.22%</t>
        </is>
      </c>
      <c r="F44" s="16" t="inlineStr">
        <is>
          <t>2026 半年报 PDF</t>
        </is>
      </c>
      <c r="G44" s="16" t="inlineStr">
        <is>
          <t>2026-08-28</t>
        </is>
      </c>
      <c r="H44" s="16" t="inlineStr">
        <is>
          <t>实际</t>
        </is>
      </c>
      <c r="I44" s="16" t="inlineStr">
        <is>
          <t>593,414,978.24 元 / 3,501,497.82 元 / 3,741,163.60 元</t>
        </is>
      </c>
      <c r="J44" s="16" t="inlineStr"/>
      <c r="K44" s="16" t="inlineStr">
        <is>
          <t>利润大幅下滑</t>
        </is>
      </c>
      <c r="L44" s="16" t="inlineStr">
        <is>
          <t>同 C-37</t>
        </is>
      </c>
      <c r="M44" s="16" t="inlineStr">
        <is>
          <t>高</t>
        </is>
      </c>
    </row>
    <row r="45">
      <c r="A45" s="16" t="inlineStr">
        <is>
          <t>C-44</t>
        </is>
      </c>
      <c r="B45" s="16" t="inlineStr">
        <is>
          <t>公司</t>
        </is>
      </c>
      <c r="C45" s="16" t="inlineStr">
        <is>
          <t>安培龙</t>
        </is>
      </c>
      <c r="D45" s="16" t="inlineStr">
        <is>
          <t>26H1 毛利率 / 分部</t>
        </is>
      </c>
      <c r="E45" s="16" t="inlineStr">
        <is>
          <t>行业毛利率 22.98%；压力传感器 25.87%；热敏温度 20.00%</t>
        </is>
      </c>
      <c r="F45" s="16" t="inlineStr">
        <is>
          <t>2026 半年报 PDF</t>
        </is>
      </c>
      <c r="G45" s="16" t="inlineStr">
        <is>
          <t>2026-08-28</t>
        </is>
      </c>
      <c r="H45" s="16" t="inlineStr">
        <is>
          <t>实际</t>
        </is>
      </c>
      <c r="I45" s="16" t="inlineStr">
        <is>
          <t>见左</t>
        </is>
      </c>
      <c r="J45" s="16" t="inlineStr"/>
      <c r="K45" s="16" t="inlineStr">
        <is>
          <t>力传感器收入低于 10%，未单列</t>
        </is>
      </c>
      <c r="L45" s="16" t="inlineStr">
        <is>
          <t>同上</t>
        </is>
      </c>
      <c r="M45" s="16" t="inlineStr">
        <is>
          <t>高</t>
        </is>
      </c>
    </row>
    <row r="46">
      <c r="A46" s="16" t="inlineStr">
        <is>
          <t>C-45</t>
        </is>
      </c>
      <c r="B46" s="16" t="inlineStr">
        <is>
          <t>公司</t>
        </is>
      </c>
      <c r="C46" s="16" t="inlineStr">
        <is>
          <t>安培龙</t>
        </is>
      </c>
      <c r="D46" s="16" t="inlineStr">
        <is>
          <t>市值 / PE</t>
        </is>
      </c>
      <c r="E46" s="16" t="inlineStr">
        <is>
          <t>总市值约 64 亿；PE（动态）919.7，PE（静态）70.98</t>
        </is>
      </c>
      <c r="F46" s="16" t="inlineStr">
        <is>
          <t>同花顺 F10</t>
        </is>
      </c>
      <c r="G46" s="16" t="inlineStr">
        <is>
          <t>2026-10-20 查询</t>
        </is>
      </c>
      <c r="H46" s="16" t="inlineStr">
        <is>
          <t>实际</t>
        </is>
      </c>
      <c r="I46" s="16" t="inlineStr">
        <is>
          <t>64 亿</t>
        </is>
      </c>
      <c r="J46" s="16" t="inlineStr">
        <is>
          <t>（已由 F 系列 2026-10-19 统一口径复核取代）</t>
        </is>
      </c>
      <c r="K46" s="16" t="inlineStr">
        <is>
          <t>动态 PE 失真（26H1 利润极低）</t>
        </is>
      </c>
      <c r="L46" s="16" t="inlineStr">
        <is>
          <t>https://basic.10jqka.com.cn/301413/</t>
        </is>
      </c>
      <c r="M46" s="16" t="inlineStr">
        <is>
          <t>中</t>
        </is>
      </c>
    </row>
    <row r="47">
      <c r="A47" s="16" t="inlineStr">
        <is>
          <t>C-46</t>
        </is>
      </c>
      <c r="B47" s="16" t="inlineStr">
        <is>
          <t>公司</t>
        </is>
      </c>
      <c r="C47" s="16" t="inlineStr">
        <is>
          <t>东华测试</t>
        </is>
      </c>
      <c r="D47" s="16" t="inlineStr">
        <is>
          <t>小批量试制</t>
        </is>
      </c>
      <c r="E47" s="16" t="inlineStr">
        <is>
          <t>六维力传感器处于小批量试制阶段</t>
        </is>
      </c>
      <c r="F47" s="16" t="inlineStr">
        <is>
          <t>互动易</t>
        </is>
      </c>
      <c r="G47" s="16" t="inlineStr">
        <is>
          <t>2025-01-13</t>
        </is>
      </c>
      <c r="H47" s="16" t="inlineStr">
        <is>
          <t>实际</t>
        </is>
      </c>
      <c r="I47" s="16" t="inlineStr">
        <is>
          <t>—</t>
        </is>
      </c>
      <c r="J47" s="16" t="inlineStr">
        <is>
          <t>假设：东华测试 2026E 份额</t>
        </is>
      </c>
      <c r="K47" s="16" t="inlineStr">
        <is>
          <t>—</t>
        </is>
      </c>
      <c r="L47" s="16" t="inlineStr">
        <is>
          <t>https://finance.sina.com.cn/stock/relnews/cn/2025-01-14/doc-ineexcef8919783.shtml</t>
        </is>
      </c>
      <c r="M47" s="16" t="inlineStr">
        <is>
          <t>高</t>
        </is>
      </c>
    </row>
    <row r="48">
      <c r="A48" s="16" t="inlineStr">
        <is>
          <t>C-47</t>
        </is>
      </c>
      <c r="B48" s="16" t="inlineStr">
        <is>
          <t>公司</t>
        </is>
      </c>
      <c r="C48" s="16" t="inlineStr">
        <is>
          <t>东华测试</t>
        </is>
      </c>
      <c r="D48" s="16" t="inlineStr">
        <is>
          <t>无人形订单</t>
        </is>
      </c>
      <c r="E48" s="16" t="inlineStr">
        <is>
          <t>截至目前，尚未取得人形机器人领域六维力传感器订单</t>
        </is>
      </c>
      <c r="F48" s="16" t="inlineStr">
        <is>
          <t>互动易</t>
        </is>
      </c>
      <c r="G48" s="16" t="inlineStr">
        <is>
          <t>2025-02-25</t>
        </is>
      </c>
      <c r="H48" s="16" t="inlineStr">
        <is>
          <t>实际</t>
        </is>
      </c>
      <c r="I48" s="16" t="inlineStr">
        <is>
          <t>—</t>
        </is>
      </c>
      <c r="J48" s="16" t="inlineStr">
        <is>
          <t>假设：东华测试 2026E 份额</t>
        </is>
      </c>
      <c r="K48" s="16" t="inlineStr">
        <is>
          <t>网传"头部人形订单"实为结构力学测试订单</t>
        </is>
      </c>
      <c r="L48" s="16" t="inlineStr">
        <is>
          <t>https://www.nbd.com.cn/articles/2025-02-25/3763805.html</t>
        </is>
      </c>
      <c r="M48" s="16" t="inlineStr">
        <is>
          <t>高</t>
        </is>
      </c>
    </row>
    <row r="49">
      <c r="A49" s="16" t="inlineStr">
        <is>
          <t>C-48</t>
        </is>
      </c>
      <c r="B49" s="16" t="inlineStr">
        <is>
          <t>公司</t>
        </is>
      </c>
      <c r="C49" s="16" t="inlineStr">
        <is>
          <t>东华测试</t>
        </is>
      </c>
      <c r="D49" s="16" t="inlineStr">
        <is>
          <t>阶段延续</t>
        </is>
      </c>
      <c r="E49" s="16" t="inlineStr">
        <is>
          <t>六维力仍处于小批量试制阶段</t>
        </is>
      </c>
      <c r="F49" s="16" t="inlineStr">
        <is>
          <t>投资者关系活动</t>
        </is>
      </c>
      <c r="G49" s="16" t="inlineStr">
        <is>
          <t>2025-04-21</t>
        </is>
      </c>
      <c r="H49" s="16" t="inlineStr">
        <is>
          <t>实际</t>
        </is>
      </c>
      <c r="I49" s="16" t="inlineStr">
        <is>
          <t>—</t>
        </is>
      </c>
      <c r="J49" s="16" t="inlineStr"/>
      <c r="K49" s="16" t="inlineStr">
        <is>
          <t>—</t>
        </is>
      </c>
      <c r="L49" s="16" t="inlineStr">
        <is>
          <t>https://finance.sina.com.cn/stock/bxjj/2025-04-21/doc-inetxfvy1902410.shtml</t>
        </is>
      </c>
      <c r="M49" s="16" t="inlineStr">
        <is>
          <t>高</t>
        </is>
      </c>
    </row>
    <row r="50">
      <c r="A50" s="16" t="inlineStr">
        <is>
          <t>C-49</t>
        </is>
      </c>
      <c r="B50" s="16" t="inlineStr">
        <is>
          <t>公司</t>
        </is>
      </c>
      <c r="C50" s="16" t="inlineStr">
        <is>
          <t>东华测试</t>
        </is>
      </c>
      <c r="D50" s="16" t="inlineStr">
        <is>
          <t>具身智能进展</t>
        </is>
      </c>
      <c r="E50" s="16" t="inlineStr">
        <is>
          <t>已成立专门部门，争取尽快将产品推向市场</t>
        </is>
      </c>
      <c r="F50" s="16" t="inlineStr">
        <is>
          <t>投资者关系活动记录表 2026-002（PDF）</t>
        </is>
      </c>
      <c r="G50" s="16" t="inlineStr">
        <is>
          <t>2026-05-14</t>
        </is>
      </c>
      <c r="H50" s="16" t="inlineStr">
        <is>
          <t>计划</t>
        </is>
      </c>
      <c r="I50" s="16" t="inlineStr">
        <is>
          <t>—</t>
        </is>
      </c>
      <c r="J50" s="16" t="inlineStr"/>
      <c r="K50" s="16" t="inlineStr">
        <is>
          <t>即截至 2026-05 尚未形成市场化销售</t>
        </is>
      </c>
      <c r="L50" s="16" t="inlineStr">
        <is>
          <t>http://file.finance.sina.com.cn/211.154.219.97:9494/MRGG/CNSESZ_STOCK/2026/2026-5/2026-05-14/12321771.PDF</t>
        </is>
      </c>
      <c r="M50" s="16" t="inlineStr">
        <is>
          <t>高</t>
        </is>
      </c>
    </row>
    <row r="51">
      <c r="A51" s="16" t="inlineStr">
        <is>
          <t>C-50</t>
        </is>
      </c>
      <c r="B51" s="16" t="inlineStr">
        <is>
          <t>公司</t>
        </is>
      </c>
      <c r="C51" s="16" t="inlineStr">
        <is>
          <t>东华测试</t>
        </is>
      </c>
      <c r="D51" s="16" t="inlineStr">
        <is>
          <t>新产品</t>
        </is>
      </c>
      <c r="E51" s="16" t="inlineStr">
        <is>
          <t>推出集成多维力/力矩传感器的"力矩自适应智能旋转关节模组"</t>
        </is>
      </c>
      <c r="F51" s="16" t="inlineStr">
        <is>
          <t>2026 半年报 PDF</t>
        </is>
      </c>
      <c r="G51" s="16" t="inlineStr">
        <is>
          <t>2026-08-24</t>
        </is>
      </c>
      <c r="H51" s="16" t="inlineStr">
        <is>
          <t>实际（产品发布）</t>
        </is>
      </c>
      <c r="I51" s="16" t="inlineStr">
        <is>
          <t>—</t>
        </is>
      </c>
      <c r="J51" s="16" t="inlineStr">
        <is>
          <t>假设：东华测试 2026E 份额；假设：东华测试 2030E 份额</t>
        </is>
      </c>
      <c r="K51" s="16" t="inlineStr">
        <is>
          <t>无订单或出货信息</t>
        </is>
      </c>
      <c r="L51" s="16" t="inlineStr">
        <is>
          <t>http://file.finance.sina.com.cn/211.154.219.97:9494/MRGG/CNSESZ_STOCK/2026/2026-8/2026-08-24/12520932.PDF</t>
        </is>
      </c>
      <c r="M51" s="16" t="inlineStr">
        <is>
          <t>高</t>
        </is>
      </c>
    </row>
    <row r="52">
      <c r="A52" s="16" t="inlineStr">
        <is>
          <t>C-51</t>
        </is>
      </c>
      <c r="B52" s="16" t="inlineStr">
        <is>
          <t>公司</t>
        </is>
      </c>
      <c r="C52" s="16" t="inlineStr">
        <is>
          <t>东华测试</t>
        </is>
      </c>
      <c r="D52" s="16" t="inlineStr">
        <is>
          <t>检测能力</t>
        </is>
      </c>
      <c r="E52" s="16" t="inlineStr">
        <is>
          <t>2024 年为国内首批具备机器人多维力检测能力的 CNAS 实验室；2026 年扩项</t>
        </is>
      </c>
      <c r="F52" s="16" t="inlineStr">
        <is>
          <t>2026 半年报 PDF</t>
        </is>
      </c>
      <c r="G52" s="16" t="inlineStr">
        <is>
          <t>2026-08-24</t>
        </is>
      </c>
      <c r="H52" s="16" t="inlineStr">
        <is>
          <t>实际</t>
        </is>
      </c>
      <c r="I52" s="16" t="inlineStr">
        <is>
          <t>—</t>
        </is>
      </c>
      <c r="J52" s="16" t="inlineStr">
        <is>
          <t>假设：东华测试 2030E 份额</t>
        </is>
      </c>
      <c r="K52" s="16" t="inlineStr">
        <is>
          <t>属于检测服务，不是传感器销售</t>
        </is>
      </c>
      <c r="L52" s="16" t="inlineStr">
        <is>
          <t>同上</t>
        </is>
      </c>
      <c r="M52" s="16" t="inlineStr">
        <is>
          <t>高</t>
        </is>
      </c>
    </row>
    <row r="53">
      <c r="A53" s="16" t="inlineStr">
        <is>
          <t>C-52</t>
        </is>
      </c>
      <c r="B53" s="16" t="inlineStr">
        <is>
          <t>公司</t>
        </is>
      </c>
      <c r="C53" s="16" t="inlineStr">
        <is>
          <t>东华测试</t>
        </is>
      </c>
      <c r="D53" s="16" t="inlineStr">
        <is>
          <t>2025 财务</t>
        </is>
      </c>
      <c r="E53" s="16" t="inlineStr">
        <is>
          <t>营收 5.31 亿 +5.72%；归母 1.37 亿 +12.34%；扣非约 1.30 亿；毛利率 66.05%</t>
        </is>
      </c>
      <c r="F53" s="16" t="inlineStr">
        <is>
          <t>2025 年报（媒体转述）</t>
        </is>
      </c>
      <c r="G53" s="16" t="inlineStr">
        <is>
          <t>2026-04</t>
        </is>
      </c>
      <c r="H53" s="16" t="inlineStr">
        <is>
          <t>实际</t>
        </is>
      </c>
      <c r="I53" s="16" t="inlineStr">
        <is>
          <t>见左</t>
        </is>
      </c>
      <c r="J53" s="16" t="inlineStr">
        <is>
          <t>假设：东华测试 原有业务净利润（2025 扣非）</t>
        </is>
      </c>
      <c r="K53" s="16" t="inlineStr">
        <is>
          <t>未读原文</t>
        </is>
      </c>
      <c r="L53" s="16" t="inlineStr">
        <is>
          <t>https://finance.sina.com.cn/stock/aiassist/agqsjs/2026-04-30/doc-inhwfayr0664725.shtml</t>
        </is>
      </c>
      <c r="M53" s="16" t="inlineStr">
        <is>
          <t>中</t>
        </is>
      </c>
    </row>
    <row r="54">
      <c r="A54" s="16" t="inlineStr">
        <is>
          <t>C-53</t>
        </is>
      </c>
      <c r="B54" s="16" t="inlineStr">
        <is>
          <t>公司</t>
        </is>
      </c>
      <c r="C54" s="16" t="inlineStr">
        <is>
          <t>东华测试</t>
        </is>
      </c>
      <c r="D54" s="16" t="inlineStr">
        <is>
          <t>26H1 财务</t>
        </is>
      </c>
      <c r="E54" s="16" t="inlineStr">
        <is>
          <t>营收 2.23 亿 -21.01%；归母 3,892 万 -49.05%；扣非 3,911 万 -48.63%</t>
        </is>
      </c>
      <c r="F54" s="16" t="inlineStr">
        <is>
          <t>2026 半年报 PDF</t>
        </is>
      </c>
      <c r="G54" s="16" t="inlineStr">
        <is>
          <t>2026-08-24</t>
        </is>
      </c>
      <c r="H54" s="16" t="inlineStr">
        <is>
          <t>实际</t>
        </is>
      </c>
      <c r="I54" s="16" t="inlineStr">
        <is>
          <t>223,230,652.51 元 / 38,919,979.25 元 / 39,111,512.61 元</t>
        </is>
      </c>
      <c r="J54" s="16" t="inlineStr"/>
      <c r="K54" s="16" t="inlineStr">
        <is>
          <t>—</t>
        </is>
      </c>
      <c r="L54" s="16" t="inlineStr">
        <is>
          <t>同 C-50</t>
        </is>
      </c>
      <c r="M54" s="16" t="inlineStr">
        <is>
          <t>高</t>
        </is>
      </c>
    </row>
    <row r="55">
      <c r="A55" s="16" t="inlineStr">
        <is>
          <t>C-54</t>
        </is>
      </c>
      <c r="B55" s="16" t="inlineStr">
        <is>
          <t>公司</t>
        </is>
      </c>
      <c r="C55" s="16" t="inlineStr">
        <is>
          <t>东华测试</t>
        </is>
      </c>
      <c r="D55" s="16" t="inlineStr">
        <is>
          <t>26H1 毛利率</t>
        </is>
      </c>
      <c r="E55" s="16" t="inlineStr">
        <is>
          <t>营业成本 7,724 万；结构力学测试系统毛利率 65.61%（收入 -29.89%）</t>
        </is>
      </c>
      <c r="F55" s="16" t="inlineStr">
        <is>
          <t>2026 半年报 PDF</t>
        </is>
      </c>
      <c r="G55" s="16" t="inlineStr">
        <is>
          <t>2026-08-24</t>
        </is>
      </c>
      <c r="H55" s="16" t="inlineStr">
        <is>
          <t>测算 / 实际</t>
        </is>
      </c>
      <c r="I55" s="16" t="inlineStr">
        <is>
          <t>综合毛利率 65.40%</t>
        </is>
      </c>
      <c r="J55" s="16" t="inlineStr"/>
      <c r="K55" s="16" t="inlineStr">
        <is>
          <t>力传感器未单列</t>
        </is>
      </c>
      <c r="L55" s="16" t="inlineStr">
        <is>
          <t>同上</t>
        </is>
      </c>
      <c r="M55" s="16" t="inlineStr">
        <is>
          <t>高</t>
        </is>
      </c>
    </row>
    <row r="56">
      <c r="A56" s="16" t="inlineStr">
        <is>
          <t>C-55</t>
        </is>
      </c>
      <c r="B56" s="16" t="inlineStr">
        <is>
          <t>公司</t>
        </is>
      </c>
      <c r="C56" s="16" t="inlineStr">
        <is>
          <t>东华测试</t>
        </is>
      </c>
      <c r="D56" s="16" t="inlineStr">
        <is>
          <t>市值 / PE</t>
        </is>
      </c>
      <c r="E56" s="16" t="inlineStr">
        <is>
          <t>总市值约 35 亿；PE（动态）45.2，PE（静态）25.7</t>
        </is>
      </c>
      <c r="F56" s="16" t="inlineStr">
        <is>
          <t>同花顺 F10</t>
        </is>
      </c>
      <c r="G56" s="16" t="inlineStr">
        <is>
          <t>2026-10-20 查询</t>
        </is>
      </c>
      <c r="H56" s="16" t="inlineStr">
        <is>
          <t>实际</t>
        </is>
      </c>
      <c r="I56" s="16" t="inlineStr">
        <is>
          <t>35 亿</t>
        </is>
      </c>
      <c r="J56" s="16" t="inlineStr">
        <is>
          <t>（已由 F 系列 2026-10-19 统一口径复核取代）</t>
        </is>
      </c>
      <c r="K56" s="16" t="inlineStr">
        <is>
          <t>页面未标行情日期</t>
        </is>
      </c>
      <c r="L56" s="16" t="inlineStr">
        <is>
          <t>https://basic.10jqka.com.cn/300354/</t>
        </is>
      </c>
      <c r="M56" s="16" t="inlineStr">
        <is>
          <t>中</t>
        </is>
      </c>
    </row>
    <row r="57">
      <c r="A57" s="16" t="inlineStr">
        <is>
          <t>C-56</t>
        </is>
      </c>
      <c r="B57" s="16" t="inlineStr">
        <is>
          <t>公司</t>
        </is>
      </c>
      <c r="C57" s="16" t="inlineStr">
        <is>
          <t>汉威科技</t>
        </is>
      </c>
      <c r="D57" s="16" t="inlineStr">
        <is>
          <t>触觉小批量</t>
        </is>
      </c>
      <c r="E57" s="16" t="inlineStr">
        <is>
          <t>柔性触觉产品持续获得多家机器人本体厂商的小批量订单</t>
        </is>
      </c>
      <c r="F57" s="16" t="inlineStr">
        <is>
          <t>2026 半年报 PDF</t>
        </is>
      </c>
      <c r="G57" s="16" t="inlineStr">
        <is>
          <t>2026-08-29</t>
        </is>
      </c>
      <c r="H57" s="16" t="inlineStr">
        <is>
          <t>实际</t>
        </is>
      </c>
      <c r="I57" s="16" t="inlineStr">
        <is>
          <t>—</t>
        </is>
      </c>
      <c r="J57" s="16" t="inlineStr"/>
      <c r="K57" s="16" t="inlineStr">
        <is>
          <t>仍是小批量；不披露客户和收入</t>
        </is>
      </c>
      <c r="L57" s="16" t="inlineStr">
        <is>
          <t>http://file.finance.sina.com.cn/211.154.219.97:9494/MRGG/CNSESZ_STOCK/2026/2026-8/2026-08-29/12567219.PDF</t>
        </is>
      </c>
      <c r="M57" s="16" t="inlineStr">
        <is>
          <t>高</t>
        </is>
      </c>
    </row>
    <row r="58">
      <c r="A58" s="16" t="inlineStr">
        <is>
          <t>C-57</t>
        </is>
      </c>
      <c r="B58" s="16" t="inlineStr">
        <is>
          <t>公司</t>
        </is>
      </c>
      <c r="C58" s="16" t="inlineStr">
        <is>
          <t>汉威科技</t>
        </is>
      </c>
      <c r="D58" s="16" t="inlineStr">
        <is>
          <t>六维力产品</t>
        </is>
      </c>
      <c r="E58" s="16" t="inlineStr">
        <is>
          <t>产品表列有"六维力传感器"，应用于人形、协作机器人等</t>
        </is>
      </c>
      <c r="F58" s="16" t="inlineStr">
        <is>
          <t>2026 半年报 PDF p22</t>
        </is>
      </c>
      <c r="G58" s="16" t="inlineStr">
        <is>
          <t>2026-08-29</t>
        </is>
      </c>
      <c r="H58" s="16" t="inlineStr">
        <is>
          <t>实际（产品目录）</t>
        </is>
      </c>
      <c r="I58" s="16" t="inlineStr">
        <is>
          <t>—</t>
        </is>
      </c>
      <c r="J58" s="16" t="inlineStr"/>
      <c r="K58" s="16" t="inlineStr">
        <is>
          <t>无送样、订单或出货信息</t>
        </is>
      </c>
      <c r="L58" s="16" t="inlineStr">
        <is>
          <t>同上</t>
        </is>
      </c>
      <c r="M58" s="16" t="inlineStr">
        <is>
          <t>高</t>
        </is>
      </c>
    </row>
    <row r="59">
      <c r="A59" s="16" t="inlineStr">
        <is>
          <t>C-58</t>
        </is>
      </c>
      <c r="B59" s="16" t="inlineStr">
        <is>
          <t>公司</t>
        </is>
      </c>
      <c r="C59" s="16" t="inlineStr">
        <is>
          <t>汉威科技</t>
        </is>
      </c>
      <c r="D59" s="16" t="inlineStr">
        <is>
          <t>柔性传感器出货</t>
        </is>
      </c>
      <c r="E59" s="16" t="inlineStr">
        <is>
          <t>经验帮助我们在现阶段的批量出货中更快服务客户</t>
        </is>
      </c>
      <c r="F59" s="16" t="inlineStr">
        <is>
          <t>投资者关系活动信息 20260804（PDF）</t>
        </is>
      </c>
      <c r="G59" s="16" t="inlineStr">
        <is>
          <t>2026-08-04</t>
        </is>
      </c>
      <c r="H59" s="16" t="inlineStr">
        <is>
          <t>实际（定性）</t>
        </is>
      </c>
      <c r="I59" s="16" t="inlineStr">
        <is>
          <t>—</t>
        </is>
      </c>
      <c r="J59" s="16" t="inlineStr"/>
      <c r="K59" s="16" t="inlineStr">
        <is>
          <t>柔性传感器收入涵盖汽车、医疗、具身智能，未拆分</t>
        </is>
      </c>
      <c r="L59" s="16" t="inlineStr">
        <is>
          <t>http://file.finance.sina.com.cn/211.154.219.97:9494/MRGG/CNSESZ_STOCK/2026/2026-8/2026-08-04/12478062.PDF</t>
        </is>
      </c>
      <c r="M59" s="16" t="inlineStr">
        <is>
          <t>高</t>
        </is>
      </c>
    </row>
    <row r="60">
      <c r="A60" s="16" t="inlineStr">
        <is>
          <t>C-59</t>
        </is>
      </c>
      <c r="B60" s="16" t="inlineStr">
        <is>
          <t>公司</t>
        </is>
      </c>
      <c r="C60" s="16" t="inlineStr">
        <is>
          <t>汉威科技</t>
        </is>
      </c>
      <c r="D60" s="16" t="inlineStr">
        <is>
          <t>新品</t>
        </is>
      </c>
      <c r="E60" s="16" t="inlineStr">
        <is>
          <t>WRC 期间与卓益得发布电容式全身电子皮肤</t>
        </is>
      </c>
      <c r="F60" s="16" t="inlineStr">
        <is>
          <t>媒体</t>
        </is>
      </c>
      <c r="G60" s="16" t="inlineStr">
        <is>
          <t>2026-08</t>
        </is>
      </c>
      <c r="H60" s="16" t="inlineStr">
        <is>
          <t>实际（发布）</t>
        </is>
      </c>
      <c r="I60" s="16" t="inlineStr">
        <is>
          <t>—</t>
        </is>
      </c>
      <c r="J60" s="16" t="inlineStr"/>
      <c r="K60" s="16" t="inlineStr">
        <is>
          <t>无订单</t>
        </is>
      </c>
      <c r="L60" s="16" t="inlineStr">
        <is>
          <t>https://www.ithome.com/0/993/250.htm</t>
        </is>
      </c>
      <c r="M60" s="16" t="inlineStr">
        <is>
          <t>中</t>
        </is>
      </c>
    </row>
    <row r="61">
      <c r="A61" s="16" t="inlineStr">
        <is>
          <t>C-60</t>
        </is>
      </c>
      <c r="B61" s="16" t="inlineStr">
        <is>
          <t>公司</t>
        </is>
      </c>
      <c r="C61" s="16" t="inlineStr">
        <is>
          <t>汉威科技</t>
        </is>
      </c>
      <c r="D61" s="16" t="inlineStr">
        <is>
          <t>客户（传闻）</t>
        </is>
      </c>
      <c r="E61" s="16" t="inlineStr">
        <is>
          <t>进入小米、华为、智元供应链；对接近 30 家厂商</t>
        </is>
      </c>
      <c r="F61" s="16" t="inlineStr">
        <is>
          <t>雪球、财富号</t>
        </is>
      </c>
      <c r="G61" s="16" t="inlineStr">
        <is>
          <t>2025-2026</t>
        </is>
      </c>
      <c r="H61" s="16" t="inlineStr">
        <is>
          <t>传闻</t>
        </is>
      </c>
      <c r="I61" s="16" t="inlineStr">
        <is>
          <t>—</t>
        </is>
      </c>
      <c r="J61" s="16" t="inlineStr"/>
      <c r="K61" s="16" t="inlineStr">
        <is>
          <t>无官方确认</t>
        </is>
      </c>
      <c r="L61" s="16" t="inlineStr">
        <is>
          <t>https://xueqiu.com/4587179884/344760164</t>
        </is>
      </c>
      <c r="M61" s="16" t="inlineStr">
        <is>
          <t>低</t>
        </is>
      </c>
    </row>
    <row r="62">
      <c r="A62" s="16" t="inlineStr">
        <is>
          <t>C-61</t>
        </is>
      </c>
      <c r="B62" s="16" t="inlineStr">
        <is>
          <t>公司</t>
        </is>
      </c>
      <c r="C62" s="16" t="inlineStr">
        <is>
          <t>汉威科技</t>
        </is>
      </c>
      <c r="D62" s="16" t="inlineStr">
        <is>
          <t>2025 财务</t>
        </is>
      </c>
      <c r="E62" s="16" t="inlineStr">
        <is>
          <t>营收 24.14 亿 +8.35%；归母 1.59 亿 +107%；扣非 0.39 亿；毛利率 31.30%；传感器分部 3.91 亿，毛利率 31.75%</t>
        </is>
      </c>
      <c r="F62" s="16" t="inlineStr">
        <is>
          <t>2025 年报（转述）</t>
        </is>
      </c>
      <c r="G62" s="16" t="inlineStr">
        <is>
          <t>2026-04-17</t>
        </is>
      </c>
      <c r="H62" s="16" t="inlineStr">
        <is>
          <t>实际</t>
        </is>
      </c>
      <c r="I62" s="16" t="inlineStr">
        <is>
          <t>见左</t>
        </is>
      </c>
      <c r="J62" s="16" t="inlineStr"/>
      <c r="K62" s="16" t="inlineStr">
        <is>
          <t>政府补助 1.15 亿，利润质量偏弱</t>
        </is>
      </c>
      <c r="L62" s="16" t="inlineStr">
        <is>
          <t>https://jnzstatic.cs.com.cn/zzb/htmlInfo/119985.html</t>
        </is>
      </c>
      <c r="M62" s="16" t="inlineStr">
        <is>
          <t>中</t>
        </is>
      </c>
    </row>
    <row r="63">
      <c r="A63" s="16" t="inlineStr">
        <is>
          <t>C-62</t>
        </is>
      </c>
      <c r="B63" s="16" t="inlineStr">
        <is>
          <t>公司</t>
        </is>
      </c>
      <c r="C63" s="16" t="inlineStr">
        <is>
          <t>汉威科技</t>
        </is>
      </c>
      <c r="D63" s="16" t="inlineStr">
        <is>
          <t>26H1 财务</t>
        </is>
      </c>
      <c r="E63" s="16" t="inlineStr">
        <is>
          <t>营收 10.66 亿 -9.40%；归母 6,805 万 +15.20%；扣非 5,977 万 +136.83%；综合毛利率 37.55%</t>
        </is>
      </c>
      <c r="F63" s="16" t="inlineStr">
        <is>
          <t>2026 半年报 PDF</t>
        </is>
      </c>
      <c r="G63" s="16" t="inlineStr">
        <is>
          <t>2026-08-29</t>
        </is>
      </c>
      <c r="H63" s="16" t="inlineStr">
        <is>
          <t>实际</t>
        </is>
      </c>
      <c r="I63" s="16" t="inlineStr">
        <is>
          <t>见左</t>
        </is>
      </c>
      <c r="J63" s="16" t="inlineStr"/>
      <c r="K63" s="16" t="inlineStr">
        <is>
          <t>—</t>
        </is>
      </c>
      <c r="L63" s="16" t="inlineStr">
        <is>
          <t>同 C-56</t>
        </is>
      </c>
      <c r="M63" s="16" t="inlineStr">
        <is>
          <t>高</t>
        </is>
      </c>
    </row>
    <row r="64">
      <c r="A64" s="16" t="inlineStr">
        <is>
          <t>C-63</t>
        </is>
      </c>
      <c r="B64" s="16" t="inlineStr">
        <is>
          <t>公司</t>
        </is>
      </c>
      <c r="C64" s="16" t="inlineStr">
        <is>
          <t>汉威科技</t>
        </is>
      </c>
      <c r="D64" s="16" t="inlineStr">
        <is>
          <t>26H1 传感器分部</t>
        </is>
      </c>
      <c r="E64" s="16" t="inlineStr">
        <is>
          <t>传感器收入 2.36 亿 +25.65%，毛利率 27.24%（-8.38pct）</t>
        </is>
      </c>
      <c r="F64" s="16" t="inlineStr">
        <is>
          <t>2026 半年报 PDF</t>
        </is>
      </c>
      <c r="G64" s="16" t="inlineStr">
        <is>
          <t>2026-08-29</t>
        </is>
      </c>
      <c r="H64" s="16" t="inlineStr">
        <is>
          <t>实际</t>
        </is>
      </c>
      <c r="I64" s="16" t="inlineStr">
        <is>
          <t>235,824,152.37 元</t>
        </is>
      </c>
      <c r="J64" s="16" t="inlineStr"/>
      <c r="K64" s="16" t="inlineStr">
        <is>
          <t>以气体传感器为主，触觉未拆分</t>
        </is>
      </c>
      <c r="L64" s="16" t="inlineStr">
        <is>
          <t>同上</t>
        </is>
      </c>
      <c r="M64" s="16" t="inlineStr">
        <is>
          <t>高</t>
        </is>
      </c>
    </row>
    <row r="65">
      <c r="A65" s="16" t="inlineStr">
        <is>
          <t>C-64</t>
        </is>
      </c>
      <c r="B65" s="16" t="inlineStr">
        <is>
          <t>公司</t>
        </is>
      </c>
      <c r="C65" s="16" t="inlineStr">
        <is>
          <t>汉威科技</t>
        </is>
      </c>
      <c r="D65" s="16" t="inlineStr">
        <is>
          <t>H 股</t>
        </is>
      </c>
      <c r="E65" s="16" t="inlineStr">
        <is>
          <t>2026-05-28 向港交所递表；2026-10-09 公告 H 股获证监会备案</t>
        </is>
      </c>
      <c r="F65" s="16" t="inlineStr">
        <is>
          <t>公司公告（标题推断）</t>
        </is>
      </c>
      <c r="G65" s="16" t="inlineStr">
        <is>
          <t>2026-05-28 / 2026-10-09</t>
        </is>
      </c>
      <c r="H65" s="16" t="inlineStr">
        <is>
          <t>实际</t>
        </is>
      </c>
      <c r="I65" s="16" t="inlineStr">
        <is>
          <t>—</t>
        </is>
      </c>
      <c r="J65" s="16" t="inlineStr"/>
      <c r="K65" s="16" t="inlineStr">
        <is>
          <t>标题由乱码页面推断</t>
        </is>
      </c>
      <c r="L65" s="16" t="inlineStr">
        <is>
          <t>http://vip.stock.finance.sina.com.cn/corp/view/vCB_AllBulletinDetail.php?stockid=300007&amp;id=12634586</t>
        </is>
      </c>
      <c r="M65" s="16" t="inlineStr">
        <is>
          <t>中</t>
        </is>
      </c>
    </row>
    <row r="66">
      <c r="A66" s="16" t="inlineStr">
        <is>
          <t>C-65</t>
        </is>
      </c>
      <c r="B66" s="16" t="inlineStr">
        <is>
          <t>公司</t>
        </is>
      </c>
      <c r="C66" s="16" t="inlineStr">
        <is>
          <t>汉威科技</t>
        </is>
      </c>
      <c r="D66" s="16" t="inlineStr">
        <is>
          <t>市值 / PE</t>
        </is>
      </c>
      <c r="E66" s="16" t="inlineStr">
        <is>
          <t>总市值约 88 亿；PE（动态）65.3，PE（静态）55.98</t>
        </is>
      </c>
      <c r="F66" s="16" t="inlineStr">
        <is>
          <t>同花顺 F10</t>
        </is>
      </c>
      <c r="G66" s="16" t="inlineStr">
        <is>
          <t>2026-10-20 查询</t>
        </is>
      </c>
      <c r="H66" s="16" t="inlineStr">
        <is>
          <t>实际</t>
        </is>
      </c>
      <c r="I66" s="16" t="inlineStr">
        <is>
          <t>88 亿</t>
        </is>
      </c>
      <c r="J66" s="16" t="inlineStr"/>
      <c r="K66" s="16" t="inlineStr">
        <is>
          <t>—</t>
        </is>
      </c>
      <c r="L66" s="16" t="inlineStr">
        <is>
          <t>https://basic.10jqka.com.cn/300007/</t>
        </is>
      </c>
      <c r="M66" s="16" t="inlineStr">
        <is>
          <t>中</t>
        </is>
      </c>
    </row>
    <row r="67">
      <c r="A67" s="16" t="inlineStr">
        <is>
          <t>C-66</t>
        </is>
      </c>
      <c r="B67" s="16" t="inlineStr">
        <is>
          <t>公司</t>
        </is>
      </c>
      <c r="C67" s="16" t="inlineStr">
        <is>
          <t>昊志机电（300503.SZ）</t>
        </is>
      </c>
      <c r="D67" s="16" t="inlineStr">
        <is>
          <t>六维力批量（按摩）</t>
        </is>
      </c>
      <c r="E67" s="16" t="inlineStr">
        <is>
          <t>六维力矩传感器主要用于与客户共同开发的按摩机器人，已形成批量销售</t>
        </is>
      </c>
      <c r="F67" s="16" t="inlineStr">
        <is>
          <t>互动易（媒体转述）</t>
        </is>
      </c>
      <c r="G67" s="16" t="inlineStr">
        <is>
          <t>2023</t>
        </is>
      </c>
      <c r="H67" s="16" t="inlineStr">
        <is>
          <t>实际</t>
        </is>
      </c>
      <c r="I67" s="16" t="inlineStr">
        <is>
          <t>—</t>
        </is>
      </c>
      <c r="J67" s="16" t="inlineStr"/>
      <c r="K67" s="16" t="inlineStr">
        <is>
          <t>非人形场景；时间较早</t>
        </is>
      </c>
      <c r="L67" s="16" t="inlineStr">
        <is>
          <t>https://cloud.tencent.com.cn/developer/news/1255855</t>
        </is>
      </c>
      <c r="M67" s="16" t="inlineStr">
        <is>
          <t>中</t>
        </is>
      </c>
    </row>
    <row r="68">
      <c r="A68" s="16" t="inlineStr">
        <is>
          <t>C-67</t>
        </is>
      </c>
      <c r="B68" s="16" t="inlineStr">
        <is>
          <t>公司</t>
        </is>
      </c>
      <c r="C68" s="16" t="inlineStr">
        <is>
          <t>昊志机电</t>
        </is>
      </c>
      <c r="D68" s="16" t="inlineStr">
        <is>
          <t>人形送样</t>
        </is>
      </c>
      <c r="E68" s="16" t="inlineStr">
        <is>
          <t>谐波减速器、行星减速器、关节模组已向人形厂商送样并有小批量订单</t>
        </is>
      </c>
      <c r="F68" s="16" t="inlineStr">
        <is>
          <t>机构调研（媒体转述）</t>
        </is>
      </c>
      <c r="G68" s="16" t="inlineStr">
        <is>
          <t>2026-02-02</t>
        </is>
      </c>
      <c r="H68" s="16" t="inlineStr">
        <is>
          <t>实际</t>
        </is>
      </c>
      <c r="I68" s="16" t="inlineStr">
        <is>
          <t>—</t>
        </is>
      </c>
      <c r="J68" s="16" t="inlineStr"/>
      <c r="K68" s="16" t="inlineStr">
        <is>
          <t>送样清单中没有六维力</t>
        </is>
      </c>
      <c r="L68" s="16" t="inlineStr">
        <is>
          <t>https://www.huxiu.com/moment/1218359.html</t>
        </is>
      </c>
      <c r="M68" s="16" t="inlineStr">
        <is>
          <t>中</t>
        </is>
      </c>
    </row>
    <row r="69">
      <c r="A69" s="16" t="inlineStr">
        <is>
          <t>C-68</t>
        </is>
      </c>
      <c r="B69" s="16" t="inlineStr">
        <is>
          <t>公司</t>
        </is>
      </c>
      <c r="C69" s="16" t="inlineStr">
        <is>
          <t>昊志机电</t>
        </is>
      </c>
      <c r="D69" s="16" t="inlineStr">
        <is>
          <t>客户（传闻）</t>
        </is>
      </c>
      <c r="E69" s="16" t="inlineStr">
        <is>
          <t>六维力通过优必选、宇树、华为认证，人形市占率约 5%</t>
        </is>
      </c>
      <c r="F69" s="16" t="inlineStr">
        <is>
          <t>韭研公社帖子</t>
        </is>
      </c>
      <c r="G69" s="16" t="inlineStr">
        <is>
          <t>2026-06 / 07</t>
        </is>
      </c>
      <c r="H69" s="16" t="inlineStr">
        <is>
          <t>传闻</t>
        </is>
      </c>
      <c r="I69" s="16" t="inlineStr">
        <is>
          <t>—</t>
        </is>
      </c>
      <c r="J69" s="16" t="inlineStr"/>
      <c r="K69" s="16" t="inlineStr">
        <is>
          <t>无官方出处</t>
        </is>
      </c>
      <c r="L69" s="16" t="inlineStr">
        <is>
          <t>https://www.jiuyangongshe.com/search/new?k=300503</t>
        </is>
      </c>
      <c r="M69" s="16" t="inlineStr">
        <is>
          <t>低</t>
        </is>
      </c>
    </row>
    <row r="70">
      <c r="A70" s="16" t="inlineStr">
        <is>
          <t>C-69</t>
        </is>
      </c>
      <c r="B70" s="16" t="inlineStr">
        <is>
          <t>公司</t>
        </is>
      </c>
      <c r="C70" s="16" t="inlineStr">
        <is>
          <t>中航电测（300114.SZ）</t>
        </is>
      </c>
      <c r="D70" s="16" t="inlineStr">
        <is>
          <t>送样 / 验证</t>
        </is>
      </c>
      <c r="E70" s="16" t="inlineStr">
        <is>
          <t>六维力正在多家客户送样，已通过某客户测试验证</t>
        </is>
      </c>
      <c r="F70" s="16" t="inlineStr">
        <is>
          <t>互动易</t>
        </is>
      </c>
      <c r="G70" s="16" t="inlineStr">
        <is>
          <t>2024-12-17</t>
        </is>
      </c>
      <c r="H70" s="16" t="inlineStr">
        <is>
          <t>实际</t>
        </is>
      </c>
      <c r="I70" s="16" t="inlineStr">
        <is>
          <t>—</t>
        </is>
      </c>
      <c r="J70" s="16" t="inlineStr"/>
      <c r="K70" s="16" t="inlineStr">
        <is>
          <t>未查到 2025-2026 年的批量证据</t>
        </is>
      </c>
      <c r="L70" s="16" t="inlineStr">
        <is>
          <t>https://www.stcn.com/article/detail/1456767.html</t>
        </is>
      </c>
      <c r="M70" s="16" t="inlineStr">
        <is>
          <t>高</t>
        </is>
      </c>
    </row>
    <row r="71">
      <c r="A71" s="16" t="inlineStr">
        <is>
          <t>C-70</t>
        </is>
      </c>
      <c r="B71" s="16" t="inlineStr">
        <is>
          <t>公司</t>
        </is>
      </c>
      <c r="C71" s="16" t="inlineStr">
        <is>
          <t>中航电测</t>
        </is>
      </c>
      <c r="D71" s="16" t="inlineStr">
        <is>
          <t>产品</t>
        </is>
      </c>
      <c r="E71" s="16" t="inlineStr">
        <is>
          <t>人形产品有六维力、关节扭矩、拉压力、指尖测力传感器</t>
        </is>
      </c>
      <c r="F71" s="16" t="inlineStr">
        <is>
          <t>互动易（媒体转述）</t>
        </is>
      </c>
      <c r="G71" s="16" t="inlineStr">
        <is>
          <t>2024-12</t>
        </is>
      </c>
      <c r="H71" s="16" t="inlineStr">
        <is>
          <t>实际</t>
        </is>
      </c>
      <c r="I71" s="16" t="inlineStr">
        <is>
          <t>—</t>
        </is>
      </c>
      <c r="J71" s="16" t="inlineStr"/>
      <c r="K71" s="16" t="inlineStr">
        <is>
          <t>仅产品布局</t>
        </is>
      </c>
      <c r="L71" s="16" t="inlineStr">
        <is>
          <t>https://m.163.com/dy/article/JJM8TFLR0512B07B.html</t>
        </is>
      </c>
      <c r="M71" s="16" t="inlineStr">
        <is>
          <t>中</t>
        </is>
      </c>
    </row>
    <row r="72">
      <c r="A72" s="16" t="inlineStr">
        <is>
          <t>C-71</t>
        </is>
      </c>
      <c r="B72" s="16" t="inlineStr">
        <is>
          <t>公司</t>
        </is>
      </c>
      <c r="C72" s="16" t="inlineStr">
        <is>
          <t>ATI（进口对照）</t>
        </is>
      </c>
      <c r="D72" s="16" t="inlineStr">
        <is>
          <t>进口单价</t>
        </is>
      </c>
      <c r="E72" s="16" t="inlineStr">
        <is>
          <t>mini45、axia80、nano43 进口价均超 3 万元；omega191 约 10.5 万元</t>
        </is>
      </c>
      <c r="F72" s="16" t="inlineStr">
        <is>
          <t>行业文章（据 e-motion supply、爱采购报价）</t>
        </is>
      </c>
      <c r="G72" s="16" t="inlineStr">
        <is>
          <t>2024-2025</t>
        </is>
      </c>
      <c r="H72" s="16" t="inlineStr">
        <is>
          <t>实际（渠道报价）</t>
        </is>
      </c>
      <c r="I72" s="16" t="inlineStr">
        <is>
          <t>&gt;3 万元/台</t>
        </is>
      </c>
      <c r="J72" s="16" t="inlineStr"/>
      <c r="K72" s="16" t="inlineStr">
        <is>
          <t>渠道价，非 2026 年价格</t>
        </is>
      </c>
      <c r="L72" s="16" t="inlineStr">
        <is>
          <t>https://news.qq.com/rain/a/20240121A01D6400</t>
        </is>
      </c>
      <c r="M72" s="16" t="inlineStr">
        <is>
          <t>中</t>
        </is>
      </c>
    </row>
    <row r="73">
      <c r="A73" s="16" t="inlineStr">
        <is>
          <t>C-72</t>
        </is>
      </c>
      <c r="B73" s="16" t="inlineStr">
        <is>
          <t>公司</t>
        </is>
      </c>
      <c r="C73" s="16" t="inlineStr">
        <is>
          <t>国产价格参照</t>
        </is>
      </c>
      <c r="D73" s="16" t="inlineStr">
        <is>
          <t>单价</t>
        </is>
      </c>
      <c r="E73" s="16" t="inlineStr">
        <is>
          <t>优必选 Walker 单个六维力超 1.5 万元，4 个合计 6 万元</t>
        </is>
      </c>
      <c r="F73" s="16" t="inlineStr">
        <is>
          <t>优必选港股招股书（媒体转述）</t>
        </is>
      </c>
      <c r="G73" s="16" t="inlineStr">
        <is>
          <t>2023</t>
        </is>
      </c>
      <c r="H73" s="16" t="inlineStr">
        <is>
          <t>实际</t>
        </is>
      </c>
      <c r="I73" s="16" t="inlineStr">
        <is>
          <t>1.5 万元/个</t>
        </is>
      </c>
      <c r="J73" s="16" t="inlineStr"/>
      <c r="K73" s="16" t="inlineStr">
        <is>
          <t>价格较早；行业称部分人形用六维力已降至千元级</t>
        </is>
      </c>
      <c r="L73" s="16" t="inlineStr">
        <is>
          <t>https://news.qq.com/rain/a/20240121A01D6400</t>
        </is>
      </c>
      <c r="M73" s="16" t="inlineStr">
        <is>
          <t>中</t>
        </is>
      </c>
    </row>
    <row r="74">
      <c r="A74" s="16" t="inlineStr">
        <is>
          <t>C-73</t>
        </is>
      </c>
      <c r="B74" s="16" t="inlineStr">
        <is>
          <t>公司</t>
        </is>
      </c>
      <c r="C74" s="16" t="inlineStr">
        <is>
          <t>柯力传感</t>
        </is>
      </c>
      <c r="D74" s="16" t="inlineStr">
        <is>
          <t>宇树</t>
        </is>
      </c>
      <c r="E74" s="16" t="inlineStr">
        <is>
          <t>与宇树暂无合作</t>
        </is>
      </c>
      <c r="F74" s="16" t="inlineStr">
        <is>
          <t>上证e互动</t>
        </is>
      </c>
      <c r="G74" s="16" t="inlineStr">
        <is>
          <t>2025-01-20</t>
        </is>
      </c>
      <c r="H74" s="16" t="inlineStr">
        <is>
          <t>实际（否认）</t>
        </is>
      </c>
      <c r="I74" s="16" t="inlineStr">
        <is>
          <t>—</t>
        </is>
      </c>
      <c r="J74" s="16" t="inlineStr"/>
      <c r="K74" s="16" t="inlineStr">
        <is>
          <t>2026 年未见更新</t>
        </is>
      </c>
      <c r="L74" s="16" t="inlineStr">
        <is>
          <t>https://m.nbd.com.cn/articles/2025-01-20/3729543.html</t>
        </is>
      </c>
      <c r="M74" s="16" t="inlineStr">
        <is>
          <t>高</t>
        </is>
      </c>
    </row>
    <row r="75">
      <c r="A75" s="16" t="inlineStr">
        <is>
          <t>C-74</t>
        </is>
      </c>
      <c r="B75" s="16" t="inlineStr">
        <is>
          <t>公司</t>
        </is>
      </c>
      <c r="C75" s="16" t="inlineStr">
        <is>
          <t>柯力传感</t>
        </is>
      </c>
      <c r="D75" s="16" t="inlineStr">
        <is>
          <t>开普勒 / 小鹏</t>
        </is>
      </c>
      <c r="E75" s="16" t="inlineStr">
        <is>
          <t>开普勒人形数百台批量出货；经下游客户间接进入小鹏供应链</t>
        </is>
      </c>
      <c r="F75" s="16" t="inlineStr">
        <is>
          <t>业绩说明会公告 2026-016</t>
        </is>
      </c>
      <c r="G75" s="16" t="inlineStr">
        <is>
          <t>2026-05-29</t>
        </is>
      </c>
      <c r="H75" s="16" t="inlineStr">
        <is>
          <t>实际</t>
        </is>
      </c>
      <c r="I75" s="16" t="inlineStr">
        <is>
          <t>数百台</t>
        </is>
      </c>
      <c r="J75" s="16" t="inlineStr"/>
      <c r="K75" s="16" t="inlineStr">
        <is>
          <t>开普勒为参股公司</t>
        </is>
      </c>
      <c r="L75" s="16" t="inlineStr">
        <is>
          <t>同 C-07</t>
        </is>
      </c>
      <c r="M75" s="16" t="inlineStr">
        <is>
          <t>高</t>
        </is>
      </c>
    </row>
    <row r="76">
      <c r="A76" s="16" t="inlineStr">
        <is>
          <t>C-75</t>
        </is>
      </c>
      <c r="B76" s="16" t="inlineStr">
        <is>
          <t>公司</t>
        </is>
      </c>
      <c r="C76" s="16" t="inlineStr">
        <is>
          <t>柯力传感</t>
        </is>
      </c>
      <c r="D76" s="16" t="inlineStr">
        <is>
          <t>智元 / 华为 / 字节</t>
        </is>
      </c>
      <c r="E76" s="16" t="inlineStr">
        <is>
          <t>向智元、字节送测；华为送样</t>
        </is>
      </c>
      <c r="F76" s="16" t="inlineStr">
        <is>
          <t>知乎、机器人网站</t>
        </is>
      </c>
      <c r="G76" s="16" t="inlineStr">
        <is>
          <t>2025</t>
        </is>
      </c>
      <c r="H76" s="16" t="inlineStr">
        <is>
          <t>传闻</t>
        </is>
      </c>
      <c r="I76" s="16" t="inlineStr">
        <is>
          <t>—</t>
        </is>
      </c>
      <c r="J76" s="16" t="inlineStr"/>
      <c r="K76" s="16" t="inlineStr">
        <is>
          <t>公司未确认</t>
        </is>
      </c>
      <c r="L76" s="16" t="inlineStr">
        <is>
          <t>https://zhuanlan.zhihu.com/p/1956420905501697965</t>
        </is>
      </c>
      <c r="M76" s="16" t="inlineStr">
        <is>
          <t>低</t>
        </is>
      </c>
    </row>
    <row r="77">
      <c r="A77" s="16" t="inlineStr">
        <is>
          <t>C-76</t>
        </is>
      </c>
      <c r="B77" s="16" t="inlineStr">
        <is>
          <t>公司</t>
        </is>
      </c>
      <c r="C77" s="16" t="inlineStr">
        <is>
          <t>柯力传感</t>
        </is>
      </c>
      <c r="D77" s="16" t="inlineStr">
        <is>
          <t>宇树 / 华为 / 特斯拉</t>
        </is>
      </c>
      <c r="E77" s="16" t="inlineStr">
        <is>
          <t>业绩会被问到合作进展，回复"客户信息请以公告为准"</t>
        </is>
      </c>
      <c r="F77" s="16" t="inlineStr">
        <is>
          <t>业绩说明会公告 2026-016</t>
        </is>
      </c>
      <c r="G77" s="16" t="inlineStr">
        <is>
          <t>2026-05-29</t>
        </is>
      </c>
      <c r="H77" s="16" t="inlineStr">
        <is>
          <t>实际（未披露）</t>
        </is>
      </c>
      <c r="I77" s="16" t="inlineStr">
        <is>
          <t>—</t>
        </is>
      </c>
      <c r="J77" s="16" t="inlineStr"/>
      <c r="K77" s="16" t="inlineStr">
        <is>
          <t>—</t>
        </is>
      </c>
      <c r="L77" s="16" t="inlineStr">
        <is>
          <t>同 C-07</t>
        </is>
      </c>
      <c r="M77" s="16" t="inlineStr">
        <is>
          <t>高</t>
        </is>
      </c>
    </row>
    <row r="78">
      <c r="A78" s="16" t="inlineStr">
        <is>
          <t>C-77</t>
        </is>
      </c>
      <c r="B78" s="16" t="inlineStr">
        <is>
          <t>公司</t>
        </is>
      </c>
      <c r="C78" s="16" t="inlineStr">
        <is>
          <t>安培龙</t>
        </is>
      </c>
      <c r="D78" s="16" t="inlineStr">
        <is>
          <t>整机客户</t>
        </is>
      </c>
      <c r="E78" s="16" t="inlineStr">
        <is>
          <t>涉及客户商业保密，暂不便披露具体客户</t>
        </is>
      </c>
      <c r="F78" s="16" t="inlineStr">
        <is>
          <t>记录表 20260907</t>
        </is>
      </c>
      <c r="G78" s="16" t="inlineStr">
        <is>
          <t>2026-09-07</t>
        </is>
      </c>
      <c r="H78" s="16" t="inlineStr">
        <is>
          <t>实际（未披露）</t>
        </is>
      </c>
      <c r="I78" s="16" t="inlineStr">
        <is>
          <t>—</t>
        </is>
      </c>
      <c r="J78" s="16" t="inlineStr"/>
      <c r="K78" s="16" t="inlineStr">
        <is>
          <t>—</t>
        </is>
      </c>
      <c r="L78" s="16" t="inlineStr">
        <is>
          <t>同 C-38</t>
        </is>
      </c>
      <c r="M78" s="16" t="inlineStr">
        <is>
          <t>高</t>
        </is>
      </c>
    </row>
    <row r="79">
      <c r="A79" s="16" t="inlineStr">
        <is>
          <t>C-78</t>
        </is>
      </c>
      <c r="B79" s="16" t="inlineStr">
        <is>
          <t>公司</t>
        </is>
      </c>
      <c r="C79" s="16" t="inlineStr">
        <is>
          <t>汉威科技</t>
        </is>
      </c>
      <c r="D79" s="16" t="inlineStr">
        <is>
          <t>小米 / 华为 / 智元</t>
        </is>
      </c>
      <c r="E79" s="16" t="inlineStr">
        <is>
          <t>柔性触觉进入小米等头部人形供应链</t>
        </is>
      </c>
      <c r="F79" s="16" t="inlineStr">
        <is>
          <t>研报 / 财富号</t>
        </is>
      </c>
      <c r="G79" s="16" t="inlineStr">
        <is>
          <t>2025-2026</t>
        </is>
      </c>
      <c r="H79" s="16" t="inlineStr">
        <is>
          <t>传闻</t>
        </is>
      </c>
      <c r="I79" s="16" t="inlineStr">
        <is>
          <t>—</t>
        </is>
      </c>
      <c r="J79" s="16" t="inlineStr"/>
      <c r="K79" s="16" t="inlineStr">
        <is>
          <t>官方只说"多家本体厂商小批量"</t>
        </is>
      </c>
      <c r="L79" s="16" t="inlineStr">
        <is>
          <t>同 C-60</t>
        </is>
      </c>
      <c r="M79" s="16" t="inlineStr">
        <is>
          <t>低</t>
        </is>
      </c>
    </row>
    <row r="80">
      <c r="A80" s="16" t="inlineStr">
        <is>
          <t>C-79</t>
        </is>
      </c>
      <c r="B80" s="16" t="inlineStr">
        <is>
          <t>公司</t>
        </is>
      </c>
      <c r="C80" s="16" t="inlineStr">
        <is>
          <t>蓝点触控（未上市）</t>
        </is>
      </c>
      <c r="D80" s="16" t="inlineStr">
        <is>
          <t>智元 / 银河通用 / 小米 / 优必选 / 众擎 / 星海图</t>
        </is>
      </c>
      <c r="E80" s="16" t="inlineStr">
        <is>
          <t>均已批量使用其产品</t>
        </is>
      </c>
      <c r="F80" s="16" t="inlineStr">
        <is>
          <t>证券日报</t>
        </is>
      </c>
      <c r="G80" s="16" t="inlineStr">
        <is>
          <t>2026-08-17</t>
        </is>
      </c>
      <c r="H80" s="16" t="inlineStr">
        <is>
          <t>实际（媒体）</t>
        </is>
      </c>
      <c r="I80" s="16" t="inlineStr">
        <is>
          <t>—</t>
        </is>
      </c>
      <c r="J80" s="16" t="inlineStr"/>
      <c r="K80" s="16" t="inlineStr">
        <is>
          <t>公司口径</t>
        </is>
      </c>
      <c r="L80" s="16" t="inlineStr">
        <is>
          <t>同 C-83</t>
        </is>
      </c>
      <c r="M80" s="16" t="inlineStr">
        <is>
          <t>中</t>
        </is>
      </c>
    </row>
    <row r="81">
      <c r="A81" s="16" t="inlineStr">
        <is>
          <t>C-80</t>
        </is>
      </c>
      <c r="B81" s="16" t="inlineStr">
        <is>
          <t>公司</t>
        </is>
      </c>
      <c r="C81" s="16" t="inlineStr">
        <is>
          <t>坤维科技（未上市）</t>
        </is>
      </c>
      <c r="D81" s="16" t="inlineStr">
        <is>
          <t>优必选 / 智元 / 星海图</t>
        </is>
      </c>
      <c r="E81" s="16" t="inlineStr">
        <is>
          <t>已向优必选、智元、星海图等批量供货</t>
        </is>
      </c>
      <c r="F81" s="16" t="inlineStr">
        <is>
          <t>MIR 白皮书相关报道</t>
        </is>
      </c>
      <c r="G81" s="16" t="inlineStr">
        <is>
          <t>2026-04-23</t>
        </is>
      </c>
      <c r="H81" s="16" t="inlineStr">
        <is>
          <t>实际（媒体）</t>
        </is>
      </c>
      <c r="I81" s="16" t="inlineStr">
        <is>
          <t>—</t>
        </is>
      </c>
      <c r="J81" s="16" t="inlineStr"/>
      <c r="K81" s="16" t="inlineStr">
        <is>
          <t>宣传稿口径</t>
        </is>
      </c>
      <c r="L81" s="16" t="inlineStr">
        <is>
          <t>http://www.rmzxw.com.cn/c/2026-04-28/3908097.shtml</t>
        </is>
      </c>
      <c r="M81" s="16" t="inlineStr">
        <is>
          <t>中</t>
        </is>
      </c>
    </row>
    <row r="82">
      <c r="A82" s="16" t="inlineStr">
        <is>
          <t>C-81</t>
        </is>
      </c>
      <c r="B82" s="16" t="inlineStr">
        <is>
          <t>公司</t>
        </is>
      </c>
      <c r="C82" s="16" t="inlineStr">
        <is>
          <t>蓝点触控</t>
        </is>
      </c>
      <c r="D82" s="16" t="inlineStr">
        <is>
          <t>上市状态</t>
        </is>
      </c>
      <c r="E82" s="16" t="inlineStr">
        <is>
          <t>公司已连续三年收入翻倍，并明确 IPO 计划</t>
        </is>
      </c>
      <c r="F82" s="16" t="inlineStr">
        <is>
          <t>机器人大讲堂（创始人访谈）</t>
        </is>
      </c>
      <c r="G82" s="16" t="inlineStr">
        <is>
          <t>2025-11-19</t>
        </is>
      </c>
      <c r="H82" s="16" t="inlineStr">
        <is>
          <t>计划</t>
        </is>
      </c>
      <c r="I82" s="16" t="inlineStr">
        <is>
          <t>—</t>
        </is>
      </c>
      <c r="J82" s="16" t="inlineStr"/>
      <c r="K82" s="16" t="inlineStr">
        <is>
          <t>未查到辅导备案或递表；判断为未上市</t>
        </is>
      </c>
      <c r="L82" s="16" t="inlineStr">
        <is>
          <t>https://www.leaderobot.com/news/6716</t>
        </is>
      </c>
      <c r="M82" s="16" t="inlineStr">
        <is>
          <t>中</t>
        </is>
      </c>
    </row>
    <row r="83">
      <c r="A83" s="16" t="inlineStr">
        <is>
          <t>C-82</t>
        </is>
      </c>
      <c r="B83" s="16" t="inlineStr">
        <is>
          <t>公司</t>
        </is>
      </c>
      <c r="C83" s="16" t="inlineStr">
        <is>
          <t>蓝点触控</t>
        </is>
      </c>
      <c r="D83" s="16" t="inlineStr">
        <is>
          <t>融资</t>
        </is>
      </c>
      <c r="E83" s="16" t="inlineStr">
        <is>
          <t>2026-08 完成数亿元 D 轮，广汽资本领投</t>
        </is>
      </c>
      <c r="F83" s="16" t="inlineStr">
        <is>
          <t>证券日报（新浪转载）</t>
        </is>
      </c>
      <c r="G83" s="16" t="inlineStr">
        <is>
          <t>2026-08-17</t>
        </is>
      </c>
      <c r="H83" s="16" t="inlineStr">
        <is>
          <t>实际</t>
        </is>
      </c>
      <c r="I83" s="16" t="inlineStr">
        <is>
          <t>—</t>
        </is>
      </c>
      <c r="J83" s="16" t="inlineStr"/>
      <c r="K83" s="16" t="inlineStr">
        <is>
          <t>—</t>
        </is>
      </c>
      <c r="L83" s="16" t="inlineStr">
        <is>
          <t>https://finance.sina.com.cn/jjxw/2026-08-17/doc-ininrean0160285.shtml</t>
        </is>
      </c>
      <c r="M83" s="16" t="inlineStr">
        <is>
          <t>中</t>
        </is>
      </c>
    </row>
    <row r="84">
      <c r="A84" s="16" t="inlineStr">
        <is>
          <t>C-83</t>
        </is>
      </c>
      <c r="B84" s="16" t="inlineStr">
        <is>
          <t>公司</t>
        </is>
      </c>
      <c r="C84" s="16" t="inlineStr">
        <is>
          <t>蓝点触控</t>
        </is>
      </c>
      <c r="D84" s="16" t="inlineStr">
        <is>
          <t>份额 / 产能 / 客户</t>
        </is>
      </c>
      <c r="E84" s="16" t="inlineStr">
        <is>
          <t>GGII：国内人形六维力份额 72.6%；产能关节 100 万套、六维力 20 万套；客户含智元、银河通用、小米、优必选</t>
        </is>
      </c>
      <c r="F84" s="16" t="inlineStr">
        <is>
          <t>同上</t>
        </is>
      </c>
      <c r="G84" s="16" t="inlineStr">
        <is>
          <t>2026-08-17</t>
        </is>
      </c>
      <c r="H84" s="16" t="inlineStr">
        <is>
          <t>实际（第三方） / 产能为设计值</t>
        </is>
      </c>
      <c r="I84" s="16" t="inlineStr">
        <is>
          <t>72.6%</t>
        </is>
      </c>
      <c r="J84" s="16" t="inlineStr">
        <is>
          <t>假设：柯力传感 2026E 份额</t>
        </is>
      </c>
      <c r="K84" s="16" t="inlineStr">
        <is>
          <t>份额口径与坤维的口径冲突</t>
        </is>
      </c>
      <c r="L84" s="16" t="inlineStr">
        <is>
          <t>同上</t>
        </is>
      </c>
      <c r="M84" s="16" t="inlineStr">
        <is>
          <t>中</t>
        </is>
      </c>
    </row>
    <row r="85">
      <c r="A85" s="16" t="inlineStr">
        <is>
          <t>C-84</t>
        </is>
      </c>
      <c r="B85" s="16" t="inlineStr">
        <is>
          <t>公司</t>
        </is>
      </c>
      <c r="C85" s="16" t="inlineStr">
        <is>
          <t>坤维科技</t>
        </is>
      </c>
      <c r="D85" s="16" t="inlineStr">
        <is>
          <t>上市状态</t>
        </is>
      </c>
      <c r="E85" s="16" t="inlineStr">
        <is>
          <t>CEO 称融资"不是为了上市"；未查到辅导备案</t>
        </is>
      </c>
      <c r="F85" s="16" t="inlineStr">
        <is>
          <t>东方财富（访谈）</t>
        </is>
      </c>
      <c r="G85" s="16" t="inlineStr">
        <is>
          <t>2026-08-26</t>
        </is>
      </c>
      <c r="H85" s="16" t="inlineStr">
        <is>
          <t>实际</t>
        </is>
      </c>
      <c r="I85" s="16" t="inlineStr">
        <is>
          <t>—</t>
        </is>
      </c>
      <c r="J85" s="16" t="inlineStr"/>
      <c r="K85" s="16" t="inlineStr">
        <is>
          <t>未上市</t>
        </is>
      </c>
      <c r="L85" s="16" t="inlineStr">
        <is>
          <t>https://finance.eastmoney.com/a/202608263854417382.html</t>
        </is>
      </c>
      <c r="M85" s="16" t="inlineStr">
        <is>
          <t>中</t>
        </is>
      </c>
    </row>
    <row r="86">
      <c r="A86" s="16" t="inlineStr">
        <is>
          <t>C-85</t>
        </is>
      </c>
      <c r="B86" s="16" t="inlineStr">
        <is>
          <t>公司</t>
        </is>
      </c>
      <c r="C86" s="16" t="inlineStr">
        <is>
          <t>坤维科技</t>
        </is>
      </c>
      <c r="D86" s="16" t="inlineStr">
        <is>
          <t>份额 / 产能</t>
        </is>
      </c>
      <c r="E86" s="16" t="inlineStr">
        <is>
          <t>MIR：2025 智能机器人领域六维力份额 53%；6 月底年产能 6 万台，全年目标 12 万台</t>
        </is>
      </c>
      <c r="F86" s="16" t="inlineStr">
        <is>
          <t>MIR 白皮书（公司宣传稿） / 投资界</t>
        </is>
      </c>
      <c r="G86" s="16" t="inlineStr">
        <is>
          <t>2026-04-23 / 2026-06-05</t>
        </is>
      </c>
      <c r="H86" s="16" t="inlineStr">
        <is>
          <t>实际 / 计划</t>
        </is>
      </c>
      <c r="I86" s="16" t="inlineStr">
        <is>
          <t>53%；6 万→12 万</t>
        </is>
      </c>
      <c r="J86" s="16" t="inlineStr"/>
      <c r="K86" s="16" t="inlineStr">
        <is>
          <t>口径是"人形+协作"，与蓝点的口径不同</t>
        </is>
      </c>
      <c r="L86" s="16" t="inlineStr">
        <is>
          <t>https://news.pedaily.cn/20260605/131494.shtml</t>
        </is>
      </c>
      <c r="M86" s="16" t="inlineStr">
        <is>
          <t>中</t>
        </is>
      </c>
    </row>
    <row r="87">
      <c r="A87" s="16" t="inlineStr">
        <is>
          <t>C-86</t>
        </is>
      </c>
      <c r="B87" s="16" t="inlineStr">
        <is>
          <t>公司</t>
        </is>
      </c>
      <c r="C87" s="16" t="inlineStr">
        <is>
          <t>宇立仪器（SRI）</t>
        </is>
      </c>
      <c r="D87" s="16" t="inlineStr">
        <is>
          <t>上市状态</t>
        </is>
      </c>
      <c r="E87" s="16" t="inlineStr">
        <is>
          <t>未查到上市、辅导或递表信息；行业资料标注为"未上市"</t>
        </is>
      </c>
      <c r="F87" s="16" t="inlineStr">
        <is>
          <t>前瞻 / 华宝证券</t>
        </is>
      </c>
      <c r="G87" s="16" t="inlineStr">
        <is>
          <t>2024-04</t>
        </is>
      </c>
      <c r="H87" s="16" t="inlineStr">
        <is>
          <t>实际</t>
        </is>
      </c>
      <c r="I87" s="16" t="inlineStr">
        <is>
          <t>单价约 1.5 万元/台（2024 研报）</t>
        </is>
      </c>
      <c r="J87" s="16" t="inlineStr"/>
      <c r="K87" s="16" t="inlineStr">
        <is>
          <t>资料较旧</t>
        </is>
      </c>
      <c r="L87" s="16" t="inlineStr">
        <is>
          <t>https://pdf.dfcfw.com/pdf/H3_AP202404151630231635_1.pdf</t>
        </is>
      </c>
      <c r="M87" s="16" t="inlineStr">
        <is>
          <t>中</t>
        </is>
      </c>
    </row>
    <row r="88">
      <c r="A88" s="16" t="inlineStr">
        <is>
          <t>D-01</t>
        </is>
      </c>
      <c r="B88" s="16" t="inlineStr">
        <is>
          <t>需求与价格</t>
        </is>
      </c>
      <c r="C88" s="16" t="inlineStr"/>
      <c r="D88" s="16" t="inlineStr">
        <is>
          <t>优必选 Walker X</t>
        </is>
      </c>
      <c r="E88" s="16" t="inlineStr">
        <is>
          <t>原文："手部与脚部分别有2个六维力/力矩传感器"</t>
        </is>
      </c>
      <c r="F88" s="16" t="inlineStr">
        <is>
          <t>华宝证券《六维力传感器：人机末端力觉来源》表6</t>
        </is>
      </c>
      <c r="G88" s="16" t="inlineStr">
        <is>
          <t>2024-04-15</t>
        </is>
      </c>
      <c r="H88" s="16" t="inlineStr">
        <is>
          <t>实际（研报整理）</t>
        </is>
      </c>
      <c r="I88" s="16" t="inlineStr">
        <is>
          <t>4 个（腕 2 + 踝 2）</t>
        </is>
      </c>
      <c r="J88" s="16" t="inlineStr">
        <is>
          <t>假设：单机用量（每台配置机型）</t>
        </is>
      </c>
      <c r="K88" s="16" t="inlineStr">
        <is>
          <t>老机型</t>
        </is>
      </c>
      <c r="L88" s="16" t="inlineStr">
        <is>
          <t>https://pdf.dfcfw.com/pdf/H3_AP202404151630231635_1.pdf p16</t>
        </is>
      </c>
      <c r="M88" s="16" t="inlineStr">
        <is>
          <t>中</t>
        </is>
      </c>
    </row>
    <row r="89">
      <c r="A89" s="16" t="inlineStr">
        <is>
          <t>D-02</t>
        </is>
      </c>
      <c r="B89" s="16" t="inlineStr">
        <is>
          <t>需求与价格</t>
        </is>
      </c>
      <c r="C89" s="16" t="inlineStr"/>
      <c r="D89" s="16" t="inlineStr">
        <is>
          <t>优必选 Walker S1</t>
        </is>
      </c>
      <c r="E89" s="16" t="inlineStr">
        <is>
          <t>参数表含"4个六维力传感器"</t>
        </is>
      </c>
      <c r="F89" s="16" t="inlineStr">
        <is>
          <t>国信证券《人形机器人产业研究蓝皮书》表6（据优必选官网整理）</t>
        </is>
      </c>
      <c r="G89" s="16" t="inlineStr">
        <is>
          <t>2026-07</t>
        </is>
      </c>
      <c r="H89" s="16" t="inlineStr">
        <is>
          <t>实际（官网参数整理）</t>
        </is>
      </c>
      <c r="I89" s="16" t="inlineStr">
        <is>
          <t>4 个</t>
        </is>
      </c>
      <c r="J89" s="16" t="inlineStr">
        <is>
          <t>假设：单机用量（每台配置机型）</t>
        </is>
      </c>
      <c r="K89" s="16" t="inlineStr">
        <is>
          <t>官网参数是图片，本稿未直接复核</t>
        </is>
      </c>
      <c r="L89" s="16" t="inlineStr">
        <is>
          <t>本地 05_券商深度研报/国信证券_人形机器人产业研究蓝皮书_2026-07.pdf p50</t>
        </is>
      </c>
      <c r="M89" s="16" t="inlineStr">
        <is>
          <t>中</t>
        </is>
      </c>
    </row>
    <row r="90">
      <c r="A90" s="16" t="inlineStr">
        <is>
          <t>D-03</t>
        </is>
      </c>
      <c r="B90" s="16" t="inlineStr">
        <is>
          <t>需求与价格</t>
        </is>
      </c>
      <c r="C90" s="16" t="inlineStr"/>
      <c r="D90" s="16" t="inlineStr">
        <is>
          <t>优必选 Walker S2（主力量产型）</t>
        </is>
      </c>
      <c r="E90" s="16" t="inlineStr">
        <is>
          <t>参数表含"纯RGB双目…2个六维力传感器"</t>
        </is>
      </c>
      <c r="F90" s="16" t="inlineStr">
        <is>
          <t>同上</t>
        </is>
      </c>
      <c r="G90" s="16" t="inlineStr">
        <is>
          <t>2026-07</t>
        </is>
      </c>
      <c r="H90" s="16" t="inlineStr">
        <is>
          <t>实际（官网参数整理）</t>
        </is>
      </c>
      <c r="I90" s="16" t="inlineStr">
        <is>
          <t>2 个</t>
        </is>
      </c>
      <c r="J90" s="16" t="inlineStr">
        <is>
          <t>假设：单机用量（每台配置机型）</t>
        </is>
      </c>
      <c r="K90" s="16" t="inlineStr">
        <is>
          <t>与 D-04 冲突；官网参数是图片，未直接复核</t>
        </is>
      </c>
      <c r="L90" s="16" t="inlineStr">
        <is>
          <t>同上 p50</t>
        </is>
      </c>
      <c r="M90" s="16" t="inlineStr">
        <is>
          <t>中</t>
        </is>
      </c>
    </row>
    <row r="91">
      <c r="A91" s="16" t="inlineStr">
        <is>
          <t>D-04</t>
        </is>
      </c>
      <c r="B91" s="16" t="inlineStr">
        <is>
          <t>需求与价格</t>
        </is>
      </c>
      <c r="C91" s="16" t="inlineStr"/>
      <c r="D91" s="16" t="inlineStr">
        <is>
          <t>优必选全系（研报表述）</t>
        </is>
      </c>
      <c r="E91" s="16" t="inlineStr">
        <is>
          <t>原文："均配备 4 个六维力传感器，分布在手腕和脚踝"</t>
        </is>
      </c>
      <c r="F91" s="16" t="inlineStr">
        <is>
          <t>国信证券（2025-05 专题，2026-07 蓝皮书沿用）</t>
        </is>
      </c>
      <c r="G91" s="16" t="inlineStr">
        <is>
          <t>2025-05 / 2026-07</t>
        </is>
      </c>
      <c r="H91" s="16" t="inlineStr">
        <is>
          <t>实际（研报表述）</t>
        </is>
      </c>
      <c r="I91" s="16" t="inlineStr">
        <is>
          <t>4 个</t>
        </is>
      </c>
      <c r="J91" s="16" t="inlineStr"/>
      <c r="K91" s="16" t="inlineStr">
        <is>
          <t>和同一报告 p50 中 S2 为 2 个自相矛盾，以分机型数据为准</t>
        </is>
      </c>
      <c r="L91" s="16" t="inlineStr">
        <is>
          <t>本地 国信蓝皮书 p156；https://pdf.dfcfw.com/pdf/H3_AP202505131672221449_1.pdf p9</t>
        </is>
      </c>
      <c r="M91" s="16" t="inlineStr">
        <is>
          <t>中-</t>
        </is>
      </c>
    </row>
    <row r="92">
      <c r="A92" s="16" t="inlineStr">
        <is>
          <t>D-05</t>
        </is>
      </c>
      <c r="B92" s="16" t="inlineStr">
        <is>
          <t>需求与价格</t>
        </is>
      </c>
      <c r="C92" s="16" t="inlineStr"/>
      <c r="D92" s="16" t="inlineStr">
        <is>
          <t>优必选供应商</t>
        </is>
      </c>
      <c r="E92" s="16" t="inlineStr">
        <is>
          <t>原文："宇立仪器是优必选的六维力传感器供应商"</t>
        </is>
      </c>
      <c r="F92" s="16" t="inlineStr">
        <is>
          <t>国信蓝皮书表43；华宝 p30</t>
        </is>
      </c>
      <c r="G92" s="16" t="inlineStr">
        <is>
          <t>2026-07 / 2024-04</t>
        </is>
      </c>
      <c r="H92" s="16" t="inlineStr">
        <is>
          <t>实际（研报整理）</t>
        </is>
      </c>
      <c r="I92" s="16" t="inlineStr">
        <is>
          <t>—</t>
        </is>
      </c>
      <c r="J92" s="16" t="inlineStr"/>
      <c r="K92" s="16" t="inlineStr">
        <is>
          <t>未给供货份额</t>
        </is>
      </c>
      <c r="L92" s="16" t="inlineStr">
        <is>
          <t>本地 国信蓝皮书 p172</t>
        </is>
      </c>
      <c r="M92" s="16" t="inlineStr">
        <is>
          <t>中</t>
        </is>
      </c>
    </row>
    <row r="93">
      <c r="A93" s="16" t="inlineStr">
        <is>
          <t>D-06</t>
        </is>
      </c>
      <c r="B93" s="16" t="inlineStr">
        <is>
          <t>需求与价格</t>
        </is>
      </c>
      <c r="C93" s="16" t="inlineStr"/>
      <c r="D93" s="16" t="inlineStr">
        <is>
          <t>智元 远征 A2-W（轮式，柔性制造）</t>
        </is>
      </c>
      <c r="E93" s="16" t="inlineStr">
        <is>
          <t>官网写"4颗AI视觉+2颗六维力觉传感器"，配 7 自由度力控双臂</t>
        </is>
      </c>
      <c r="F93" s="16" t="inlineStr">
        <is>
          <t>智元官网（搜索摘要转述）；国信 2025-05</t>
        </is>
      </c>
      <c r="G93" s="16" t="inlineStr">
        <is>
          <t>2025</t>
        </is>
      </c>
      <c r="H93" s="16" t="inlineStr">
        <is>
          <t>实际</t>
        </is>
      </c>
      <c r="I93" s="16" t="inlineStr">
        <is>
          <t>2 个（推断在双臂腕部）</t>
        </is>
      </c>
      <c r="J93" s="16" t="inlineStr">
        <is>
          <t>假设：单机用量（每台配置机型）</t>
        </is>
      </c>
      <c r="K93" s="16" t="inlineStr">
        <is>
          <t>官网已改版，本稿未能直接复核原句</t>
        </is>
      </c>
      <c r="L93" s="16" t="inlineStr">
        <is>
          <t>https://www.agibot.com/article/161/detail/8.html ；国信 2025-05 专题 p9</t>
        </is>
      </c>
      <c r="M93" s="16" t="inlineStr">
        <is>
          <t>中</t>
        </is>
      </c>
    </row>
    <row r="94">
      <c r="A94" s="16" t="inlineStr">
        <is>
          <t>D-07</t>
        </is>
      </c>
      <c r="B94" s="16" t="inlineStr">
        <is>
          <t>需求与价格</t>
        </is>
      </c>
      <c r="C94" s="16" t="inlineStr"/>
      <c r="D94" s="16" t="inlineStr">
        <is>
          <t>智元 远征 A2（双足交互服务版）</t>
        </is>
      </c>
      <c r="E94" s="16" t="inlineStr">
        <is>
          <t>官网传感器清单列"足底传感器"，未列六维力</t>
        </is>
      </c>
      <c r="F94" s="16" t="inlineStr">
        <is>
          <t>智元官网（搜索摘要）</t>
        </is>
      </c>
      <c r="G94" s="16" t="inlineStr">
        <is>
          <t>2025</t>
        </is>
      </c>
      <c r="H94" s="16" t="inlineStr">
        <is>
          <t>实际</t>
        </is>
      </c>
      <c r="I94" s="16" t="inlineStr">
        <is>
          <t>0 个（清单未列）</t>
        </is>
      </c>
      <c r="J94" s="16" t="inlineStr"/>
      <c r="K94" s="16" t="inlineStr">
        <is>
          <t>清单未列不等于没装；A2 Ultra 参数是图片</t>
        </is>
      </c>
      <c r="L94" s="16" t="inlineStr">
        <is>
          <t>https://www.agibot.com/product/169/detail/4.html</t>
        </is>
      </c>
      <c r="M94" s="16" t="inlineStr">
        <is>
          <t>中-</t>
        </is>
      </c>
    </row>
    <row r="95">
      <c r="A95" s="16" t="inlineStr">
        <is>
          <t>D-08</t>
        </is>
      </c>
      <c r="B95" s="16" t="inlineStr">
        <is>
          <t>需求与价格</t>
        </is>
      </c>
      <c r="C95" s="16" t="inlineStr"/>
      <c r="D95" s="16" t="inlineStr">
        <is>
          <t>宇树 H1 / H2 / G1</t>
        </is>
      </c>
      <c r="E95" s="16" t="inlineStr">
        <is>
          <t>官方规格只列激光雷达、深度相机、IMU、双编码器，未列六维力</t>
        </is>
      </c>
      <c r="F95" s="16" t="inlineStr">
        <is>
          <t>宇树官网、百度百科、经销商页面</t>
        </is>
      </c>
      <c r="G95" s="16" t="inlineStr">
        <is>
          <t>2024–2026</t>
        </is>
      </c>
      <c r="H95" s="16" t="inlineStr">
        <is>
          <t>实际（未列）</t>
        </is>
      </c>
      <c r="I95" s="16" t="inlineStr">
        <is>
          <t>标配 0 个（未见官方配置）</t>
        </is>
      </c>
      <c r="J95" s="16" t="inlineStr"/>
      <c r="K95" s="16" t="inlineStr">
        <is>
          <t>第三方称 G1 高配可选 F/T，未获官方证实；推断主要用电机电流估计力矩</t>
        </is>
      </c>
      <c r="L95" s="16" t="inlineStr">
        <is>
          <t>https://www.unitree.com/cn/h1/ ；https://yfrobotics.github.io/robowiki-cn/database/unitree-h1/</t>
        </is>
      </c>
      <c r="M95" s="16" t="inlineStr">
        <is>
          <t>中（"未列"）/ 低（选配说法）</t>
        </is>
      </c>
    </row>
    <row r="96">
      <c r="A96" s="16" t="inlineStr">
        <is>
          <t>D-09</t>
        </is>
      </c>
      <c r="B96" s="16" t="inlineStr">
        <is>
          <t>需求与价格</t>
        </is>
      </c>
      <c r="C96" s="16" t="inlineStr"/>
      <c r="D96" s="16" t="inlineStr">
        <is>
          <t>宇树供应链（自媒体）</t>
        </is>
      </c>
      <c r="E96" s="16" t="inlineStr">
        <is>
          <t>称柯力进入宇树定点，"单台用量2—4个、单价万元级"</t>
        </is>
      </c>
      <c r="F96" s="16" t="inlineStr">
        <is>
          <t>今日头条自媒体</t>
        </is>
      </c>
      <c r="G96" s="16" t="inlineStr">
        <is>
          <t>2026-08/09</t>
        </is>
      </c>
      <c r="H96" s="16" t="inlineStr">
        <is>
          <t>测算</t>
        </is>
      </c>
      <c r="I96" s="16" t="inlineStr">
        <is>
          <t>2–4 个</t>
        </is>
      </c>
      <c r="J96" s="16" t="inlineStr"/>
      <c r="K96" s="16" t="inlineStr">
        <is>
          <t>招股书原文中未找到对应披露</t>
        </is>
      </c>
      <c r="L96" s="16" t="inlineStr">
        <is>
          <t>https://www.toutiao.com/article/7671818784537149996</t>
        </is>
      </c>
      <c r="M96" s="16" t="inlineStr">
        <is>
          <t>低</t>
        </is>
      </c>
    </row>
    <row r="97">
      <c r="A97" s="16" t="inlineStr">
        <is>
          <t>D-10</t>
        </is>
      </c>
      <c r="B97" s="16" t="inlineStr">
        <is>
          <t>需求与价格</t>
        </is>
      </c>
      <c r="C97" s="16" t="inlineStr"/>
      <c r="D97" s="16" t="inlineStr">
        <is>
          <t>银河通用 Galbot G1（轮式双臂）</t>
        </is>
      </c>
      <c r="E97" s="16" t="inlineStr">
        <is>
          <t>官方文档原文："腕部六维力传感器x2"</t>
        </is>
      </c>
      <c r="F97" s="16" t="inlineStr">
        <is>
          <t>银河通用官方开发者文档 G1 v2.2.4</t>
        </is>
      </c>
      <c r="G97" s="16" t="inlineStr">
        <is>
          <t>2025–2026</t>
        </is>
      </c>
      <c r="H97" s="16" t="inlineStr">
        <is>
          <t>实际（官方参数）</t>
        </is>
      </c>
      <c r="I97" s="16" t="inlineStr">
        <is>
          <t>2 个（左右腕）</t>
        </is>
      </c>
      <c r="J97" s="16" t="inlineStr">
        <is>
          <t>假设：单机用量（每台配置机型）</t>
        </is>
      </c>
      <c r="K97" s="16" t="inlineStr">
        <is>
          <t>早期版本配置可能不同</t>
        </is>
      </c>
      <c r="L97" s="16" t="inlineStr">
        <is>
          <t>http://developer.galbot.com/docs/g1/2.2.4/zh/g1/</t>
        </is>
      </c>
      <c r="M97" s="16" t="inlineStr">
        <is>
          <t>高</t>
        </is>
      </c>
    </row>
    <row r="98">
      <c r="A98" s="16" t="inlineStr">
        <is>
          <t>D-11</t>
        </is>
      </c>
      <c r="B98" s="16" t="inlineStr">
        <is>
          <t>需求与价格</t>
        </is>
      </c>
      <c r="C98" s="16" t="inlineStr"/>
      <c r="D98" s="16" t="inlineStr">
        <is>
          <t>小鹏 IRON</t>
        </is>
      </c>
      <c r="E98" s="16" t="inlineStr">
        <is>
          <t>自媒体称柯力六维力精度 0.01N，"已通过小鹏量产验证"</t>
        </is>
      </c>
      <c r="F98" s="16" t="inlineStr">
        <is>
          <t>艾邦机器人、知乎</t>
        </is>
      </c>
      <c r="G98" s="16" t="inlineStr">
        <is>
          <t>2025-11 起</t>
        </is>
      </c>
      <c r="H98" s="16" t="inlineStr">
        <is>
          <t>未证实</t>
        </is>
      </c>
      <c r="I98" s="16" t="inlineStr">
        <is>
          <t>数量：未找到</t>
        </is>
      </c>
      <c r="J98" s="16" t="inlineStr"/>
      <c r="K98" s="16" t="inlineStr">
        <is>
          <t>无官方配置披露；IRON 计划 2026 年底量产</t>
        </is>
      </c>
      <c r="L98" s="16" t="inlineStr">
        <is>
          <t>https://www.aibangbots.com/a/5122</t>
        </is>
      </c>
      <c r="M98" s="16" t="inlineStr">
        <is>
          <t>低</t>
        </is>
      </c>
    </row>
    <row r="99">
      <c r="A99" s="16" t="inlineStr">
        <is>
          <t>D-12</t>
        </is>
      </c>
      <c r="B99" s="16" t="inlineStr">
        <is>
          <t>需求与价格</t>
        </is>
      </c>
      <c r="C99" s="16" t="inlineStr"/>
      <c r="D99" s="16" t="inlineStr">
        <is>
          <t>傅利叶 GR-1 / GR-2</t>
        </is>
      </c>
      <c r="E99" s="16" t="inlineStr">
        <is>
          <t>GR-1 写"自主多维力传感器"；GR-2 手部有 6 个阵列式触觉传感器</t>
        </is>
      </c>
      <c r="F99" s="16" t="inlineStr">
        <is>
          <t>华宝表6；傅利叶发布会报道</t>
        </is>
      </c>
      <c r="G99" s="16" t="inlineStr">
        <is>
          <t>2024</t>
        </is>
      </c>
      <c r="H99" s="16" t="inlineStr">
        <is>
          <t>实际（研报/媒体）</t>
        </is>
      </c>
      <c r="I99" s="16" t="inlineStr">
        <is>
          <t>六维力个数：未找到</t>
        </is>
      </c>
      <c r="J99" s="16" t="inlineStr"/>
      <c r="K99" s="16" t="inlineStr">
        <is>
          <t>GR-2 官方文档未列 F/T</t>
        </is>
      </c>
      <c r="L99" s="16" t="inlineStr">
        <is>
          <t>华宝 p16；https://news.qq.com/rain/a/20240926A02VVS00</t>
        </is>
      </c>
      <c r="M99" s="16" t="inlineStr">
        <is>
          <t>中-</t>
        </is>
      </c>
    </row>
    <row r="100">
      <c r="A100" s="16" t="inlineStr">
        <is>
          <t>D-13</t>
        </is>
      </c>
      <c r="B100" s="16" t="inlineStr">
        <is>
          <t>需求与价格</t>
        </is>
      </c>
      <c r="C100" s="16" t="inlineStr"/>
      <c r="D100" s="16" t="inlineStr">
        <is>
          <t>傅利叶自研人形专用六维力</t>
        </is>
      </c>
      <c r="E100" s="16" t="inlineStr">
        <is>
          <t>2025-12-22 发布，"成本降至五千元以内"</t>
        </is>
      </c>
      <c r="F100" s="16" t="inlineStr">
        <is>
          <t>傅利叶（机器人新闻网报道）</t>
        </is>
      </c>
      <c r="G100" s="16" t="inlineStr">
        <is>
          <t>2025-12-22</t>
        </is>
      </c>
      <c r="H100" s="16" t="inlineStr">
        <is>
          <t>实际（公司宣传）</t>
        </is>
      </c>
      <c r="I100" s="16" t="inlineStr">
        <is>
          <t>成本 &lt;5,000 元/颗；用量未披露</t>
        </is>
      </c>
      <c r="J100" s="16" t="inlineStr"/>
      <c r="K100" s="16" t="inlineStr">
        <is>
          <t>说的是成本不是售价；标题"千元级"与正文不一致</t>
        </is>
      </c>
      <c r="L100" s="16" t="inlineStr">
        <is>
          <t>https://www.robotnews.com.cn/info/2026/01091402026.html</t>
        </is>
      </c>
      <c r="M100" s="16" t="inlineStr">
        <is>
          <t>中-</t>
        </is>
      </c>
    </row>
    <row r="101">
      <c r="A101" s="16" t="inlineStr">
        <is>
          <t>D-14</t>
        </is>
      </c>
      <c r="B101" s="16" t="inlineStr">
        <is>
          <t>需求与价格</t>
        </is>
      </c>
      <c r="C101" s="16" t="inlineStr"/>
      <c r="D101" s="16" t="inlineStr">
        <is>
          <t>乐聚 夸父（KUAVO）</t>
        </is>
      </c>
      <c r="E101" s="16" t="inlineStr">
        <is>
          <t>公开资料只说"可搭载多种开鸿传感器"，未见六维力数量</t>
        </is>
      </c>
      <c r="F101" s="16" t="inlineStr">
        <is>
          <t>IT之家 / 乐聚发布会</t>
        </is>
      </c>
      <c r="G101" s="16" t="inlineStr">
        <is>
          <t>2023-12 起</t>
        </is>
      </c>
      <c r="H101" s="16" t="inlineStr">
        <is>
          <t>—</t>
        </is>
      </c>
      <c r="I101" s="16" t="inlineStr">
        <is>
          <t>未找到</t>
        </is>
      </c>
      <c r="J101" s="16" t="inlineStr"/>
      <c r="K101" s="16" t="inlineStr">
        <is>
          <t>—</t>
        </is>
      </c>
      <c r="L101" s="16" t="inlineStr">
        <is>
          <t>https://www.ithome.com/0/737/085.htm</t>
        </is>
      </c>
      <c r="M101" s="16" t="inlineStr">
        <is>
          <t>—</t>
        </is>
      </c>
    </row>
    <row r="102">
      <c r="A102" s="16" t="inlineStr">
        <is>
          <t>D-15</t>
        </is>
      </c>
      <c r="B102" s="16" t="inlineStr">
        <is>
          <t>需求与价格</t>
        </is>
      </c>
      <c r="C102" s="16" t="inlineStr"/>
      <c r="D102" s="16" t="inlineStr">
        <is>
          <t>其他国产机型</t>
        </is>
      </c>
      <c r="E102" s="16" t="inlineStr">
        <is>
          <t>达闼 XR-4 脚部用六维力；天工 1.1 Pro 内置六维力；美的人形手臂搭载六维力</t>
        </is>
      </c>
      <c r="F102" s="16" t="inlineStr">
        <is>
          <t>华宝 p16；国信蓝皮书 p63、p89</t>
        </is>
      </c>
      <c r="G102" s="16" t="inlineStr">
        <is>
          <t>2024–2026</t>
        </is>
      </c>
      <c r="H102" s="16" t="inlineStr">
        <is>
          <t>实际（研报整理）</t>
        </is>
      </c>
      <c r="I102" s="16" t="inlineStr">
        <is>
          <t>个数多数未披露</t>
        </is>
      </c>
      <c r="J102" s="16" t="inlineStr"/>
      <c r="K102" s="16" t="inlineStr">
        <is>
          <t>—</t>
        </is>
      </c>
      <c r="L102" s="16" t="inlineStr">
        <is>
          <t>华宝 p16；国信蓝皮书 p63、p89</t>
        </is>
      </c>
      <c r="M102" s="16" t="inlineStr">
        <is>
          <t>中</t>
        </is>
      </c>
    </row>
    <row r="103">
      <c r="A103" s="16" t="inlineStr">
        <is>
          <t>D-16</t>
        </is>
      </c>
      <c r="B103" s="16" t="inlineStr">
        <is>
          <t>需求与价格</t>
        </is>
      </c>
      <c r="C103" s="16" t="inlineStr"/>
      <c r="D103" s="16" t="inlineStr">
        <is>
          <t>参照：Tesla Optimus</t>
        </is>
      </c>
      <c r="E103" s="16" t="inlineStr">
        <is>
          <t>官方 Gen2 规格写"Foot force/torque sensing"；国信价值量表假设"六维力传感器 4 2000 8000"（个/元/元）</t>
        </is>
      </c>
      <c r="F103" s="16" t="inlineStr">
        <is>
          <t>Tesla（2023-12）；国信蓝皮书表14</t>
        </is>
      </c>
      <c r="G103" s="16" t="inlineStr">
        <is>
          <t>2023-12 / 2026-07</t>
        </is>
      </c>
      <c r="H103" s="16" t="inlineStr">
        <is>
          <t>实际（足部力觉）+ 测算（4 个）</t>
        </is>
      </c>
      <c r="I103" s="16" t="inlineStr">
        <is>
          <t>4 个（研报假设），量产价 2,000 元</t>
        </is>
      </c>
      <c r="J103" s="16" t="inlineStr"/>
      <c r="K103" s="16" t="inlineStr">
        <is>
          <t>官方未披露维数和个数，V3 也无官方数据</t>
        </is>
      </c>
      <c r="L103" s="16" t="inlineStr">
        <is>
          <t>https://www.teslaoracle.com/2023/12/22/tesla-optimus-humanoid-robot-will-be-able-to-thread-a-needle-in-a-year-says-elon-musk/ ；本地 国信蓝皮书 p73</t>
        </is>
      </c>
      <c r="M103" s="16" t="inlineStr">
        <is>
          <t>中</t>
        </is>
      </c>
    </row>
    <row r="104">
      <c r="A104" s="16" t="inlineStr">
        <is>
          <t>D-17</t>
        </is>
      </c>
      <c r="B104" s="16" t="inlineStr">
        <is>
          <t>需求与价格</t>
        </is>
      </c>
      <c r="C104" s="16" t="inlineStr"/>
      <c r="D104" s="16" t="inlineStr">
        <is>
          <t>参照：Figure 03</t>
        </is>
      </c>
      <c r="E104" s="16" t="inlineStr">
        <is>
          <t>官方只披露指尖触觉（约 3 克）和掌心相机</t>
        </is>
      </c>
      <c r="F104" s="16" t="inlineStr">
        <is>
          <t>Figure AI 官网</t>
        </is>
      </c>
      <c r="G104" s="16" t="inlineStr">
        <is>
          <t>2025-10-09</t>
        </is>
      </c>
      <c r="H104" s="16" t="inlineStr">
        <is>
          <t>实际</t>
        </is>
      </c>
      <c r="I104" s="16" t="inlineStr">
        <is>
          <t>腕/踝六维力：未披露</t>
        </is>
      </c>
      <c r="J104" s="16" t="inlineStr"/>
      <c r="K104" s="16" t="inlineStr">
        <is>
          <t>—</t>
        </is>
      </c>
      <c r="L104" s="16" t="inlineStr">
        <is>
          <t>https://www.figure.ai/news/introducing-figure-03</t>
        </is>
      </c>
      <c r="M104" s="16" t="inlineStr">
        <is>
          <t>高（触觉）/ 六维力：未找到</t>
        </is>
      </c>
    </row>
    <row r="105">
      <c r="A105" s="16" t="inlineStr">
        <is>
          <t>D-18</t>
        </is>
      </c>
      <c r="B105" s="16" t="inlineStr">
        <is>
          <t>需求与价格</t>
        </is>
      </c>
      <c r="C105" s="16" t="inlineStr"/>
      <c r="D105" s="16" t="inlineStr">
        <is>
          <t>行业口径：配置机型的用量</t>
        </is>
      </c>
      <c r="E105" s="16" t="inlineStr">
        <is>
          <t>原文："具备力控能力的人形机器人多配备2至4颗"</t>
        </is>
      </c>
      <c r="F105" s="16" t="inlineStr">
        <is>
          <t>北京赛迪出版传媒 × 中国电子报《2026年中国人形机器人六维力传感器市场调研报告》</t>
        </is>
      </c>
      <c r="G105" s="16" t="inlineStr">
        <is>
          <t>2026-08-31</t>
        </is>
      </c>
      <c r="H105" s="16" t="inlineStr">
        <is>
          <t>实际（行业调研）</t>
        </is>
      </c>
      <c r="I105" s="16" t="inlineStr">
        <is>
          <t>2–4 颗/台（只算配置机型）</t>
        </is>
      </c>
      <c r="J105" s="16" t="inlineStr">
        <is>
          <t>假设：单机用量（每台配置机型）</t>
        </is>
      </c>
      <c r="K105" s="16" t="inlineStr">
        <is>
          <t>分母是"具备力控能力"的机型</t>
        </is>
      </c>
      <c r="L105" s="16" t="inlineStr">
        <is>
          <t>https://mp.ofweek.com/ai/a756714156647</t>
        </is>
      </c>
      <c r="M105" s="16" t="inlineStr">
        <is>
          <t>中</t>
        </is>
      </c>
    </row>
    <row r="106">
      <c r="A106" s="16" t="inlineStr">
        <is>
          <t>D-19</t>
        </is>
      </c>
      <c r="B106" s="16" t="inlineStr">
        <is>
          <t>需求与价格</t>
        </is>
      </c>
      <c r="C106" s="16" t="inlineStr"/>
      <c r="D106" s="16" t="inlineStr">
        <is>
          <t>行业口径：中金</t>
        </is>
      </c>
      <c r="E106" s="16" t="inlineStr">
        <is>
          <t>原文："单机大概率搭载六维力传感器2或4个"</t>
        </is>
      </c>
      <c r="F106" s="16" t="inlineStr">
        <is>
          <t>中金《人形机器人传感器：高价值量、高壁垒的感知环节》</t>
        </is>
      </c>
      <c r="G106" s="16" t="inlineStr">
        <is>
          <t>2025-06-24</t>
        </is>
      </c>
      <c r="H106" s="16" t="inlineStr">
        <is>
          <t>测算</t>
        </is>
      </c>
      <c r="I106" s="16" t="inlineStr">
        <is>
          <t>2 或 4 个</t>
        </is>
      </c>
      <c r="J106" s="16" t="inlineStr">
        <is>
          <t>假设：单机用量（每台配置机型）</t>
        </is>
      </c>
      <c r="K106" s="16" t="inlineStr">
        <is>
          <t>转载稿</t>
        </is>
      </c>
      <c r="L106" s="16" t="inlineStr">
        <is>
          <t>https://m.sohu.com/a/907613987_122014422/</t>
        </is>
      </c>
      <c r="M106" s="16" t="inlineStr">
        <is>
          <t>中</t>
        </is>
      </c>
    </row>
    <row r="107">
      <c r="A107" s="16" t="inlineStr">
        <is>
          <t>D-20</t>
        </is>
      </c>
      <c r="B107" s="16" t="inlineStr">
        <is>
          <t>需求与价格</t>
        </is>
      </c>
      <c r="C107" s="16" t="inlineStr"/>
      <c r="D107" s="16" t="inlineStr">
        <is>
          <t>行业口径：厂商</t>
        </is>
      </c>
      <c r="E107" s="16" t="inlineStr">
        <is>
          <t>原文："通常需配备4个六维力传感器（手腕、脚腕）"</t>
        </is>
      </c>
      <c r="F107" s="16" t="inlineStr">
        <is>
          <t>财联社 / 科创板日报（厂商受访）</t>
        </is>
      </c>
      <c r="G107" s="16" t="inlineStr">
        <is>
          <t>2025-09-01</t>
        </is>
      </c>
      <c r="H107" s="16" t="inlineStr">
        <is>
          <t>实际（厂商口径）</t>
        </is>
      </c>
      <c r="I107" s="16" t="inlineStr">
        <is>
          <t>4 个</t>
        </is>
      </c>
      <c r="J107" s="16" t="inlineStr"/>
      <c r="K107" s="16" t="inlineStr">
        <is>
          <t>厂商口径偏高</t>
        </is>
      </c>
      <c r="L107" s="16" t="inlineStr">
        <is>
          <t>https://m.cls.cn/detail/2131477</t>
        </is>
      </c>
      <c r="M107" s="16" t="inlineStr">
        <is>
          <t>中-</t>
        </is>
      </c>
    </row>
    <row r="108">
      <c r="A108" s="16" t="inlineStr">
        <is>
          <t>D-21</t>
        </is>
      </c>
      <c r="B108" s="16" t="inlineStr">
        <is>
          <t>需求与价格</t>
        </is>
      </c>
      <c r="C108" s="16" t="inlineStr"/>
      <c r="D108" s="16" t="inlineStr">
        <is>
          <t>远期用量上修（解读稿）</t>
        </is>
      </c>
      <c r="E108" s="16" t="inlineStr">
        <is>
          <t>原文："单机搭载量从2～4颗提升至6～10颗"</t>
        </is>
      </c>
      <c r="F108" s="16" t="inlineStr">
        <is>
          <t>中华网对赛迪报告的解读</t>
        </is>
      </c>
      <c r="G108" s="16" t="inlineStr">
        <is>
          <t>2026-08-31</t>
        </is>
      </c>
      <c r="H108" s="16" t="inlineStr">
        <is>
          <t>预测</t>
        </is>
      </c>
      <c r="I108" s="16" t="inlineStr">
        <is>
          <t>6–10 颗</t>
        </is>
      </c>
      <c r="J108" s="16" t="inlineStr"/>
      <c r="K108" s="16" t="inlineStr">
        <is>
          <t>赛迪原发稿中未见此句，可能把灵巧手指尖也算进去了</t>
        </is>
      </c>
      <c r="L108" s="16" t="inlineStr">
        <is>
          <t>https://mtz.china.com/touzi/2026/0831/263958.html</t>
        </is>
      </c>
      <c r="M108" s="16" t="inlineStr">
        <is>
          <t>低</t>
        </is>
      </c>
    </row>
    <row r="109">
      <c r="A109" s="16" t="inlineStr">
        <is>
          <t>D-22</t>
        </is>
      </c>
      <c r="B109" s="16" t="inlineStr">
        <is>
          <t>需求与价格</t>
        </is>
      </c>
      <c r="C109" s="16" t="inlineStr"/>
      <c r="D109" s="16" t="inlineStr">
        <is>
          <t>安装位置共识</t>
        </is>
      </c>
      <c r="E109" s="16" t="inlineStr">
        <is>
          <t>原文："主要被配备在人形机器人的手腕、脚腕处"</t>
        </is>
      </c>
      <c r="F109" s="16" t="inlineStr">
        <is>
          <t>GGII《2026中国工业具身智能产业发展蓝皮书》</t>
        </is>
      </c>
      <c r="G109" s="16" t="inlineStr">
        <is>
          <t>2026-09</t>
        </is>
      </c>
      <c r="H109" s="16" t="inlineStr">
        <is>
          <t>实际</t>
        </is>
      </c>
      <c r="I109" s="16" t="inlineStr">
        <is>
          <t>腕 + 踝</t>
        </is>
      </c>
      <c r="J109" s="16" t="inlineStr"/>
      <c r="K109" s="16" t="inlineStr">
        <is>
          <t>—</t>
        </is>
      </c>
      <c r="L109" s="16" t="inlineStr">
        <is>
          <t>本地 06_行业白皮书与咨询报告/高工咨询GGII_中国工业具身智能产业发展蓝皮书_2026-09.pdf p55</t>
        </is>
      </c>
      <c r="M109" s="16" t="inlineStr">
        <is>
          <t>中</t>
        </is>
      </c>
    </row>
    <row r="110">
      <c r="A110" s="16" t="inlineStr">
        <is>
          <t>D-23</t>
        </is>
      </c>
      <c r="B110" s="16" t="inlineStr">
        <is>
          <t>需求与价格</t>
        </is>
      </c>
      <c r="C110" s="16" t="inlineStr"/>
      <c r="D110" s="16" t="inlineStr">
        <is>
          <t>人形六维力渗透率路径</t>
        </is>
      </c>
      <c r="E110" s="16" t="inlineStr">
        <is>
          <t>原文："2024年渗透率为20%，至2030年增至55%"</t>
        </is>
      </c>
      <c r="F110" s="16" t="inlineStr">
        <is>
          <t>中金</t>
        </is>
      </c>
      <c r="G110" s="16" t="inlineStr">
        <is>
          <t>2025-06-24</t>
        </is>
      </c>
      <c r="H110" s="16" t="inlineStr">
        <is>
          <t>预测</t>
        </is>
      </c>
      <c r="I110" s="16" t="inlineStr">
        <is>
          <t>20% → 55%</t>
        </is>
      </c>
      <c r="J110" s="16" t="inlineStr">
        <is>
          <t>假设：2025 六维力采用率（配置机型占比）；假设：2030E 采用率</t>
        </is>
      </c>
      <c r="K110" s="16" t="inlineStr">
        <is>
          <t>唯一给出逐年路径的研报；转载稿</t>
        </is>
      </c>
      <c r="L110" s="16" t="inlineStr">
        <is>
          <t>https://m.sohu.com/a/907613987_122014422/</t>
        </is>
      </c>
      <c r="M110" s="16" t="inlineStr">
        <is>
          <t>中</t>
        </is>
      </c>
    </row>
    <row r="111">
      <c r="A111" s="16" t="inlineStr">
        <is>
          <t>D-24</t>
        </is>
      </c>
      <c r="B111" s="16" t="inlineStr">
        <is>
          <t>需求与价格</t>
        </is>
      </c>
      <c r="C111" s="16" t="inlineStr"/>
      <c r="D111" s="16" t="inlineStr">
        <is>
          <t>协作机器人搭载率（参照）</t>
        </is>
      </c>
      <c r="E111" s="16" t="inlineStr">
        <is>
          <t>协作机器人搭载六维力的渗透率约 25%（依据 2023 年协作销量 2.6 万台、六维力 9,450 台，假设七成用于协作）</t>
        </is>
      </c>
      <c r="F111" s="16" t="inlineStr">
        <is>
          <t>中金</t>
        </is>
      </c>
      <c r="G111" s="16" t="inlineStr">
        <is>
          <t>2025-06-24</t>
        </is>
      </c>
      <c r="H111" s="16" t="inlineStr">
        <is>
          <t>测算</t>
        </is>
      </c>
      <c r="I111" s="16" t="inlineStr">
        <is>
          <t>约 25%</t>
        </is>
      </c>
      <c r="J111" s="16" t="inlineStr">
        <is>
          <t>假设：2030E 采用率</t>
        </is>
      </c>
      <c r="K111" s="16" t="inlineStr">
        <is>
          <t>推算值</t>
        </is>
      </c>
      <c r="L111" s="16" t="inlineStr">
        <is>
          <t>同上</t>
        </is>
      </c>
      <c r="M111" s="16" t="inlineStr">
        <is>
          <t>中</t>
        </is>
      </c>
    </row>
    <row r="112">
      <c r="A112" s="16" t="inlineStr">
        <is>
          <t>D-25</t>
        </is>
      </c>
      <c r="B112" s="16" t="inlineStr">
        <is>
          <t>需求与价格</t>
        </is>
      </c>
      <c r="C112" s="16" t="inlineStr"/>
      <c r="D112" s="16" t="inlineStr">
        <is>
          <t>2025 年中国隐含采用率（GGII 口径）</t>
        </is>
      </c>
      <c r="E112" s="16" t="inlineStr">
        <is>
          <t>1.23 万台传感器 ÷ 1.8 万台整机</t>
        </is>
      </c>
      <c r="F112" s="16" t="inlineStr">
        <is>
          <t>本稿推算</t>
        </is>
      </c>
      <c r="G112" s="16" t="inlineStr">
        <is>
          <t>2025</t>
        </is>
      </c>
      <c r="H112" s="16" t="inlineStr">
        <is>
          <t>测算（本稿推算）</t>
        </is>
      </c>
      <c r="I112" s="16" t="inlineStr">
        <is>
          <t>0.68 颗/台；按每台 2–4 颗折算，约 17%–34%</t>
        </is>
      </c>
      <c r="J112" s="16" t="inlineStr">
        <is>
          <t>假设：2025 六维力采用率（配置机型占比）</t>
        </is>
      </c>
      <c r="K112" s="16" t="inlineStr">
        <is>
          <t>两组数据口径不同</t>
        </is>
      </c>
      <c r="L112" s="16" t="inlineStr">
        <is>
          <t>见 D-55、D-74</t>
        </is>
      </c>
      <c r="M112" s="16" t="inlineStr">
        <is>
          <t>中-</t>
        </is>
      </c>
    </row>
    <row r="113">
      <c r="A113" s="16" t="inlineStr">
        <is>
          <t>D-26</t>
        </is>
      </c>
      <c r="B113" s="16" t="inlineStr">
        <is>
          <t>需求与价格</t>
        </is>
      </c>
      <c r="C113" s="16" t="inlineStr"/>
      <c r="D113" s="16" t="inlineStr">
        <is>
          <t>2025 年中国隐含采用率（赛迪口径）</t>
        </is>
      </c>
      <c r="E113" s="16" t="inlineStr">
        <is>
          <t>1.32 万颗 ÷ 1.44 万台整机</t>
        </is>
      </c>
      <c r="F113" s="16" t="inlineStr">
        <is>
          <t>本稿推算（同一份赛迪报告）</t>
        </is>
      </c>
      <c r="G113" s="16" t="inlineStr">
        <is>
          <t>2025</t>
        </is>
      </c>
      <c r="H113" s="16" t="inlineStr">
        <is>
          <t>测算（本稿推算）</t>
        </is>
      </c>
      <c r="I113" s="16" t="inlineStr">
        <is>
          <t>0.92 颗/台；按每台 2–4 颗折算，约 23%–46%</t>
        </is>
      </c>
      <c r="J113" s="16" t="inlineStr">
        <is>
          <t>假设：2025 六维力采用率（配置机型占比）</t>
        </is>
      </c>
      <c r="K113" s="16" t="inlineStr">
        <is>
          <t>传感器用量可能含样机和备件</t>
        </is>
      </c>
      <c r="L113" s="16" t="inlineStr">
        <is>
          <t>https://mtz.china.com/touzi/2026/0831/263958.html</t>
        </is>
      </c>
      <c r="M113" s="16" t="inlineStr">
        <is>
          <t>中-</t>
        </is>
      </c>
    </row>
    <row r="114">
      <c r="A114" s="16" t="inlineStr">
        <is>
          <t>D-27</t>
        </is>
      </c>
      <c r="B114" s="16" t="inlineStr">
        <is>
          <t>需求与价格</t>
        </is>
      </c>
      <c r="C114" s="16" t="inlineStr"/>
      <c r="D114" s="16" t="inlineStr">
        <is>
          <t>覆盖整机量（作者估算）</t>
        </is>
      </c>
      <c r="E114" s="16" t="inlineStr">
        <is>
          <t>1.32 万颗约覆盖"三千到六千台"整机</t>
        </is>
      </c>
      <c r="F114" s="16" t="inlineStr">
        <is>
          <t>维科号对赛迪报告的解读</t>
        </is>
      </c>
      <c r="G114" s="16" t="inlineStr">
        <is>
          <t>2026-09-02</t>
        </is>
      </c>
      <c r="H114" s="16" t="inlineStr">
        <is>
          <t>测算</t>
        </is>
      </c>
      <c r="I114" s="16" t="inlineStr">
        <is>
          <t>3,000–6,000 台，约占中国 1.44 万台的 21%–42%</t>
        </is>
      </c>
      <c r="J114" s="16" t="inlineStr">
        <is>
          <t>假设：2025 六维力采用率（配置机型占比）</t>
        </is>
      </c>
      <c r="K114" s="16" t="inlineStr">
        <is>
          <t>作者自估</t>
        </is>
      </c>
      <c r="L114" s="16" t="inlineStr">
        <is>
          <t>https://mp.ofweek.com/ai/a756714156647</t>
        </is>
      </c>
      <c r="M114" s="16" t="inlineStr">
        <is>
          <t>中-</t>
        </is>
      </c>
    </row>
    <row r="115">
      <c r="A115" s="16" t="inlineStr">
        <is>
          <t>D-28</t>
        </is>
      </c>
      <c r="B115" s="16" t="inlineStr">
        <is>
          <t>需求与价格</t>
        </is>
      </c>
      <c r="C115" s="16" t="inlineStr"/>
      <c r="D115" s="16" t="inlineStr">
        <is>
          <t>2030 隐含单机用量（赛迪）</t>
        </is>
      </c>
      <c r="E115" s="16" t="inlineStr">
        <is>
          <t>120 万颗 ÷ 40 万台</t>
        </is>
      </c>
      <c r="F115" s="16" t="inlineStr">
        <is>
          <t>本稿推算</t>
        </is>
      </c>
      <c r="G115" s="16" t="inlineStr">
        <is>
          <t>2030E</t>
        </is>
      </c>
      <c r="H115" s="16" t="inlineStr">
        <is>
          <t>测算（本稿推算）</t>
        </is>
      </c>
      <c r="I115" s="16" t="inlineStr">
        <is>
          <t>3.0 颗/台（全部机型平均）</t>
        </is>
      </c>
      <c r="J115" s="16" t="inlineStr">
        <is>
          <t>假设：2030E 采用率</t>
        </is>
      </c>
      <c r="K115" s="16" t="inlineStr">
        <is>
          <t>相当于基本全部标配，偏乐观</t>
        </is>
      </c>
      <c r="L115" s="16" t="inlineStr">
        <is>
          <t>同 D-26</t>
        </is>
      </c>
      <c r="M115" s="16" t="inlineStr">
        <is>
          <t>中-</t>
        </is>
      </c>
    </row>
    <row r="116">
      <c r="A116" s="16" t="inlineStr">
        <is>
          <t>D-29</t>
        </is>
      </c>
      <c r="B116" s="16" t="inlineStr">
        <is>
          <t>需求与价格</t>
        </is>
      </c>
      <c r="C116" s="16" t="inlineStr"/>
      <c r="D116" s="16" t="inlineStr">
        <is>
          <t>采用率定性趋势</t>
        </is>
      </c>
      <c r="E116" s="16" t="inlineStr">
        <is>
          <t>力控已从"可选项"变成"必须项"</t>
        </is>
      </c>
      <c r="F116" s="16" t="inlineStr">
        <is>
          <t>赛迪（中华网解读）</t>
        </is>
      </c>
      <c r="G116" s="16" t="inlineStr">
        <is>
          <t>2026-08-31</t>
        </is>
      </c>
      <c r="H116" s="16" t="inlineStr">
        <is>
          <t>判断</t>
        </is>
      </c>
      <c r="I116" s="16" t="inlineStr">
        <is>
          <t>—</t>
        </is>
      </c>
      <c r="J116" s="16" t="inlineStr">
        <is>
          <t>假设：2026E 采用率</t>
        </is>
      </c>
      <c r="K116" s="16" t="inlineStr">
        <is>
          <t>定性</t>
        </is>
      </c>
      <c r="L116" s="16" t="inlineStr">
        <is>
          <t>同 D-26</t>
        </is>
      </c>
      <c r="M116" s="16" t="inlineStr">
        <is>
          <t>中-</t>
        </is>
      </c>
    </row>
    <row r="117">
      <c r="A117" s="16" t="inlineStr">
        <is>
          <t>D-30</t>
        </is>
      </c>
      <c r="B117" s="16" t="inlineStr">
        <is>
          <t>需求与价格</t>
        </is>
      </c>
      <c r="C117" s="16" t="inlineStr"/>
      <c r="D117" s="16" t="inlineStr">
        <is>
          <t>出货结构拖累采用率</t>
        </is>
      </c>
      <c r="E117" s="16" t="inlineStr">
        <is>
          <t>科研教育、表演展示、政府数采合计占 83.8%（2025）→ 69%（2026H1）</t>
        </is>
      </c>
      <c r="F117" s="16" t="inlineStr">
        <is>
          <t>IDC</t>
        </is>
      </c>
      <c r="G117" s="16" t="inlineStr">
        <is>
          <t>2026-09-29</t>
        </is>
      </c>
      <c r="H117" s="16" t="inlineStr">
        <is>
          <t>实际</t>
        </is>
      </c>
      <c r="I117" s="16" t="inlineStr">
        <is>
          <t>—</t>
        </is>
      </c>
      <c r="J117" s="16" t="inlineStr">
        <is>
          <t>假设：2026E 采用率</t>
        </is>
      </c>
      <c r="K117" s="16" t="inlineStr">
        <is>
          <t>间接证据：这些场景的机型多数不配六维力</t>
        </is>
      </c>
      <c r="L117" s="16" t="inlineStr">
        <is>
          <t>见 research_ch1_2.md 第 106 行</t>
        </is>
      </c>
      <c r="M117" s="16" t="inlineStr">
        <is>
          <t>中高</t>
        </is>
      </c>
    </row>
    <row r="118">
      <c r="A118" s="16" t="inlineStr">
        <is>
          <t>D-31</t>
        </is>
      </c>
      <c r="B118" s="16" t="inlineStr">
        <is>
          <t>需求与价格</t>
        </is>
      </c>
      <c r="C118" s="16" t="inlineStr"/>
      <c r="D118" s="16" t="inlineStr">
        <is>
          <t>头部厂商未标配</t>
        </is>
      </c>
      <c r="E118" s="16" t="inlineStr">
        <is>
          <t>宇树 2025 年出货约 5,500 台，官方规格未列六维力</t>
        </is>
      </c>
      <c r="F118" s="16" t="inlineStr">
        <is>
          <t>宇树招股书 / 官网</t>
        </is>
      </c>
      <c r="G118" s="16" t="inlineStr">
        <is>
          <t>2025</t>
        </is>
      </c>
      <c r="H118" s="16" t="inlineStr">
        <is>
          <t>实际</t>
        </is>
      </c>
      <c r="I118" s="16" t="inlineStr">
        <is>
          <t>—</t>
        </is>
      </c>
      <c r="J118" s="16" t="inlineStr"/>
      <c r="K118" s="16" t="inlineStr">
        <is>
          <t>宇树和智元合计约占六成，2025 年采用率不可能高（本稿判断）</t>
        </is>
      </c>
      <c r="L118" s="16" t="inlineStr">
        <is>
          <t>见 D-08</t>
        </is>
      </c>
      <c r="M118" s="16" t="inlineStr">
        <is>
          <t>中</t>
        </is>
      </c>
    </row>
    <row r="119">
      <c r="A119" s="16" t="inlineStr">
        <is>
          <t>D-32</t>
        </is>
      </c>
      <c r="B119" s="16" t="inlineStr">
        <is>
          <t>需求与价格</t>
        </is>
      </c>
      <c r="C119" s="16" t="inlineStr"/>
      <c r="D119" s="16" t="inlineStr">
        <is>
          <t>替代方案总览</t>
        </is>
      </c>
      <c r="E119" s="16" t="inlineStr">
        <is>
          <t>人形可能用三维力、六维力、关节扭矩或一维拉力传感器，也会用触觉或电子皮肤</t>
        </is>
      </c>
      <c r="F119" s="16" t="inlineStr">
        <is>
          <t>华宝</t>
        </is>
      </c>
      <c r="G119" s="16" t="inlineStr">
        <is>
          <t>2024-04-15</t>
        </is>
      </c>
      <c r="H119" s="16" t="inlineStr">
        <is>
          <t>实际</t>
        </is>
      </c>
      <c r="I119" s="16" t="inlineStr">
        <is>
          <t>—</t>
        </is>
      </c>
      <c r="J119" s="16" t="inlineStr"/>
      <c r="K119" s="16" t="inlineStr">
        <is>
          <t>—</t>
        </is>
      </c>
      <c r="L119" s="16" t="inlineStr">
        <is>
          <t>华宝 p15</t>
        </is>
      </c>
      <c r="M119" s="16" t="inlineStr">
        <is>
          <t>中</t>
        </is>
      </c>
    </row>
    <row r="120">
      <c r="A120" s="16" t="inlineStr">
        <is>
          <t>D-33</t>
        </is>
      </c>
      <c r="B120" s="16" t="inlineStr">
        <is>
          <t>需求与价格</t>
        </is>
      </c>
      <c r="C120" s="16" t="inlineStr"/>
      <c r="D120" s="16" t="inlineStr">
        <is>
          <t>替代①：腕踝改用一维/三维+解耦</t>
        </is>
      </c>
      <c r="E120" s="16" t="inlineStr">
        <is>
          <t>可用"4个一维力传感器+解耦算法"或 4 个三维力</t>
        </is>
      </c>
      <c r="F120" s="16" t="inlineStr">
        <is>
          <t>中金</t>
        </is>
      </c>
      <c r="G120" s="16" t="inlineStr">
        <is>
          <t>2025-06-24</t>
        </is>
      </c>
      <c r="H120" s="16" t="inlineStr">
        <is>
          <t>实际（方案描述）</t>
        </is>
      </c>
      <c r="I120" s="16" t="inlineStr">
        <is>
          <t>—</t>
        </is>
      </c>
      <c r="J120" s="16" t="inlineStr"/>
      <c r="K120" s="16" t="inlineStr">
        <is>
          <t>无精度对比</t>
        </is>
      </c>
      <c r="L120" s="16" t="inlineStr">
        <is>
          <t>同 D-23</t>
        </is>
      </c>
      <c r="M120" s="16" t="inlineStr">
        <is>
          <t>中</t>
        </is>
      </c>
    </row>
    <row r="121">
      <c r="A121" s="16" t="inlineStr">
        <is>
          <t>D-34</t>
        </is>
      </c>
      <c r="B121" s="16" t="inlineStr">
        <is>
          <t>需求与价格</t>
        </is>
      </c>
      <c r="C121" s="16" t="inlineStr"/>
      <c r="D121" s="16" t="inlineStr">
        <is>
          <t>替代②：关节扭矩传感器价格</t>
        </is>
      </c>
      <c r="E121" s="16" t="inlineStr">
        <is>
          <t>原文："均价在 2000-4000 元"，六维力约为其 10 倍</t>
        </is>
      </c>
      <c r="F121" s="16" t="inlineStr">
        <is>
          <t>华宝（引 MIR 2022）</t>
        </is>
      </c>
      <c r="G121" s="16" t="inlineStr">
        <is>
          <t>2024-04-15</t>
        </is>
      </c>
      <c r="H121" s="16" t="inlineStr">
        <is>
          <t>实际</t>
        </is>
      </c>
      <c r="I121" s="16" t="inlineStr">
        <is>
          <t>2,000–4,000 元/个</t>
        </is>
      </c>
      <c r="J121" s="16" t="inlineStr"/>
      <c r="K121" s="16" t="inlineStr">
        <is>
          <t>2022 年数据</t>
        </is>
      </c>
      <c r="L121" s="16" t="inlineStr">
        <is>
          <t>华宝 p22</t>
        </is>
      </c>
      <c r="M121" s="16" t="inlineStr">
        <is>
          <t>中</t>
        </is>
      </c>
    </row>
    <row r="122">
      <c r="A122" s="16" t="inlineStr">
        <is>
          <t>D-35</t>
        </is>
      </c>
      <c r="B122" s="16" t="inlineStr">
        <is>
          <t>需求与价格</t>
        </is>
      </c>
      <c r="C122" s="16" t="inlineStr"/>
      <c r="D122" s="16" t="inlineStr">
        <is>
          <t>替代②：量产扭矩/力传感器价格</t>
        </is>
      </c>
      <c r="E122" s="16" t="inlineStr">
        <is>
          <t>旋转关节力矩传感器 14×300 元，直线关节力传感器 14×300 元（东吴为 400 元降到 200 元）</t>
        </is>
      </c>
      <c r="F122" s="16" t="inlineStr">
        <is>
          <t>国信蓝皮书表14；东吴 2026 年度策略</t>
        </is>
      </c>
      <c r="G122" s="16" t="inlineStr">
        <is>
          <t>2026-07 / 2026-02</t>
        </is>
      </c>
      <c r="H122" s="16" t="inlineStr">
        <is>
          <t>测算</t>
        </is>
      </c>
      <c r="I122" s="16" t="inlineStr">
        <is>
          <t>200–400 元/个</t>
        </is>
      </c>
      <c r="J122" s="16" t="inlineStr"/>
      <c r="K122" s="16" t="inlineStr">
        <is>
          <t>假设值</t>
        </is>
      </c>
      <c r="L122" s="16" t="inlineStr">
        <is>
          <t>本地 国信蓝皮书 p73；02_券商研报/东吴证券_人形机器人2026年度策略_以正和以奇胜_2026-02.pdf p10</t>
        </is>
      </c>
      <c r="M122" s="16" t="inlineStr">
        <is>
          <t>中</t>
        </is>
      </c>
    </row>
    <row r="123">
      <c r="A123" s="16" t="inlineStr">
        <is>
          <t>D-36</t>
        </is>
      </c>
      <c r="B123" s="16" t="inlineStr">
        <is>
          <t>需求与价格</t>
        </is>
      </c>
      <c r="C123" s="16" t="inlineStr"/>
      <c r="D123" s="16" t="inlineStr">
        <is>
          <t>替代③：电流环力矩估计</t>
        </is>
      </c>
      <c r="E123" s="16" t="inlineStr">
        <is>
          <t>准直驱（PA）用电流测力矩，"精度一般"；刚性驱动（TSA）用应变片或电流环</t>
        </is>
      </c>
      <c r="F123" s="16" t="inlineStr">
        <is>
          <t>中银证券图表26；GGII 蓝皮书 p34</t>
        </is>
      </c>
      <c r="G123" s="16" t="inlineStr">
        <is>
          <t>2026-08 / 2026-09</t>
        </is>
      </c>
      <c r="H123" s="16" t="inlineStr">
        <is>
          <t>实际（技术描述）</t>
        </is>
      </c>
      <c r="I123" s="16" t="inlineStr">
        <is>
          <t>成本：不需要传感器；精度：一般</t>
        </is>
      </c>
      <c r="J123" s="16" t="inlineStr"/>
      <c r="K123" s="16" t="inlineStr">
        <is>
          <t>没有量化误差数据</t>
        </is>
      </c>
      <c r="L123" s="16" t="inlineStr">
        <is>
          <t>本地 02_券商研报/中银证券_人形机器人行业深度报告_2026-08.pdf p19；GGII 蓝皮书 p34</t>
        </is>
      </c>
      <c r="M123" s="16" t="inlineStr">
        <is>
          <t>中</t>
        </is>
      </c>
    </row>
    <row r="124">
      <c r="A124" s="16" t="inlineStr">
        <is>
          <t>D-37</t>
        </is>
      </c>
      <c r="B124" s="16" t="inlineStr">
        <is>
          <t>需求与价格</t>
        </is>
      </c>
      <c r="C124" s="16" t="inlineStr"/>
      <c r="D124" s="16" t="inlineStr">
        <is>
          <t>电流环的局限</t>
        </is>
      </c>
      <c r="E124" s="16" t="inlineStr">
        <is>
          <t>误差较大，精度受摩擦影响，适用于直驱或小减速比</t>
        </is>
      </c>
      <c r="F124" s="16" t="inlineStr">
        <is>
          <t>券商专题（搜狐转载）</t>
        </is>
      </c>
      <c r="G124" s="16" t="inlineStr">
        <is>
          <t>2025</t>
        </is>
      </c>
      <c r="H124" s="16" t="inlineStr">
        <is>
          <t>实际</t>
        </is>
      </c>
      <c r="I124" s="16" t="inlineStr">
        <is>
          <t>—</t>
        </is>
      </c>
      <c r="J124" s="16" t="inlineStr"/>
      <c r="K124" s="16" t="inlineStr">
        <is>
          <t>转载稿</t>
        </is>
      </c>
      <c r="L124" s="16" t="inlineStr">
        <is>
          <t>https://www.sohu.com/a/846634643_121880839</t>
        </is>
      </c>
      <c r="M124" s="16" t="inlineStr">
        <is>
          <t>中-</t>
        </is>
      </c>
    </row>
    <row r="125">
      <c r="A125" s="16" t="inlineStr">
        <is>
          <t>D-38</t>
        </is>
      </c>
      <c r="B125" s="16" t="inlineStr">
        <is>
          <t>需求与价格</t>
        </is>
      </c>
      <c r="C125" s="16" t="inlineStr"/>
      <c r="D125" s="16" t="inlineStr">
        <is>
          <t>替代④：触觉阵列</t>
        </is>
      </c>
      <c r="E125" s="16" t="inlineStr">
        <is>
          <t>GR-2 有 6 个阵列触觉；帕西尼指尖触觉单价降到"数百元"</t>
        </is>
      </c>
      <c r="F125" s="16" t="inlineStr">
        <is>
          <t>傅利叶；财联社</t>
        </is>
      </c>
      <c r="G125" s="16" t="inlineStr">
        <is>
          <t>2024 / 2025</t>
        </is>
      </c>
      <c r="H125" s="16" t="inlineStr">
        <is>
          <t>实际</t>
        </is>
      </c>
      <c r="I125" s="16" t="inlineStr">
        <is>
          <t>数百元/指尖</t>
        </is>
      </c>
      <c r="J125" s="16" t="inlineStr"/>
      <c r="K125" s="16" t="inlineStr">
        <is>
          <t>与六维力是互补，不是同一功能</t>
        </is>
      </c>
      <c r="L125" s="16" t="inlineStr">
        <is>
          <t>https://m.cls.cn/detail/2131477</t>
        </is>
      </c>
      <c r="M125" s="16" t="inlineStr">
        <is>
          <t>中-</t>
        </is>
      </c>
    </row>
    <row r="126">
      <c r="A126" s="16" t="inlineStr">
        <is>
          <t>D-39</t>
        </is>
      </c>
      <c r="B126" s="16" t="inlineStr">
        <is>
          <t>需求与价格</t>
        </is>
      </c>
      <c r="C126" s="16" t="inlineStr"/>
      <c r="D126" s="16" t="inlineStr">
        <is>
          <t>替代⑤：足底压力/力传感</t>
        </is>
      </c>
      <c r="E126" s="16" t="inlineStr">
        <is>
          <t>智元 A2 配"足底传感器"；足部力传感器在 60℃ 以上时误差由 0.5% 升到 5% 以上</t>
        </is>
      </c>
      <c r="F126" s="16" t="inlineStr">
        <is>
          <t>智元官网；中银引温擎智控</t>
        </is>
      </c>
      <c r="G126" s="16" t="inlineStr">
        <is>
          <t>2025 / 2026-08</t>
        </is>
      </c>
      <c r="H126" s="16" t="inlineStr">
        <is>
          <t>实际</t>
        </is>
      </c>
      <c r="I126" s="16" t="inlineStr">
        <is>
          <t>—</t>
        </is>
      </c>
      <c r="J126" s="16" t="inlineStr"/>
      <c r="K126" s="16" t="inlineStr">
        <is>
          <t>成本未找到</t>
        </is>
      </c>
      <c r="L126" s="16" t="inlineStr">
        <is>
          <t>本地 中银 p32</t>
        </is>
      </c>
      <c r="M126" s="16" t="inlineStr">
        <is>
          <t>中</t>
        </is>
      </c>
    </row>
    <row r="127">
      <c r="A127" s="16" t="inlineStr">
        <is>
          <t>D-40</t>
        </is>
      </c>
      <c r="B127" s="16" t="inlineStr">
        <is>
          <t>需求与价格</t>
        </is>
      </c>
      <c r="C127" s="16" t="inlineStr"/>
      <c r="D127" s="16" t="inlineStr">
        <is>
          <t>精度门槛（政策）</t>
        </is>
      </c>
      <c r="E127" s="16" t="inlineStr">
        <is>
          <t>原文："精度达到0.5%FS，响应时间优于0.03s"</t>
        </is>
      </c>
      <c r="F127" s="16" t="inlineStr">
        <is>
          <t>工信部揭榜挂帅榜单（国信整理）</t>
        </is>
      </c>
      <c r="G127" s="16" t="inlineStr">
        <is>
          <t>2023-09</t>
        </is>
      </c>
      <c r="H127" s="16" t="inlineStr">
        <is>
          <t>计划</t>
        </is>
      </c>
      <c r="I127" s="16" t="inlineStr">
        <is>
          <t>0.5%FS</t>
        </is>
      </c>
      <c r="J127" s="16" t="inlineStr"/>
      <c r="K127" s="16" t="inlineStr">
        <is>
          <t>—</t>
        </is>
      </c>
      <c r="L127" s="16" t="inlineStr">
        <is>
          <t>本地 国信蓝皮书 p159</t>
        </is>
      </c>
      <c r="M127" s="16" t="inlineStr">
        <is>
          <t>高</t>
        </is>
      </c>
    </row>
    <row r="128">
      <c r="A128" s="16" t="inlineStr">
        <is>
          <t>D-41</t>
        </is>
      </c>
      <c r="B128" s="16" t="inlineStr">
        <is>
          <t>需求与价格</t>
        </is>
      </c>
      <c r="C128" s="16" t="inlineStr"/>
      <c r="D128" s="16" t="inlineStr">
        <is>
          <t>国产与外资性能差距</t>
        </is>
      </c>
      <c r="E128" s="16" t="inlineStr">
        <is>
          <t>精准度"已基本接近"，灵敏度、抗过载、维间耦合仍有差距</t>
        </is>
      </c>
      <c r="F128" s="16" t="inlineStr">
        <is>
          <t>GGII 蓝皮书</t>
        </is>
      </c>
      <c r="G128" s="16" t="inlineStr">
        <is>
          <t>2026-09</t>
        </is>
      </c>
      <c r="H128" s="16" t="inlineStr">
        <is>
          <t>判断</t>
        </is>
      </c>
      <c r="I128" s="16" t="inlineStr">
        <is>
          <t>—</t>
        </is>
      </c>
      <c r="J128" s="16" t="inlineStr"/>
      <c r="K128" s="16" t="inlineStr">
        <is>
          <t>—</t>
        </is>
      </c>
      <c r="L128" s="16" t="inlineStr">
        <is>
          <t>本地 GGII 蓝皮书 p55</t>
        </is>
      </c>
      <c r="M128" s="16" t="inlineStr">
        <is>
          <t>中</t>
        </is>
      </c>
    </row>
    <row r="129">
      <c r="A129" s="16" t="inlineStr">
        <is>
          <t>D-42</t>
        </is>
      </c>
      <c r="B129" s="16" t="inlineStr">
        <is>
          <t>需求与价格</t>
        </is>
      </c>
      <c r="C129" s="16" t="inlineStr"/>
      <c r="D129" s="16" t="inlineStr">
        <is>
          <t>2022 年中国均价</t>
        </is>
      </c>
      <c r="E129" s="16" t="inlineStr">
        <is>
          <t>8,360 套、2.39 亿元，每套约 2.86 万元；机器人用约 3.23 万元</t>
        </is>
      </c>
      <c r="F129" s="16" t="inlineStr">
        <is>
          <t>GGII（华宝转引）</t>
        </is>
      </c>
      <c r="G129" s="16" t="inlineStr">
        <is>
          <t>2022</t>
        </is>
      </c>
      <c r="H129" s="16" t="inlineStr">
        <is>
          <t>实际</t>
        </is>
      </c>
      <c r="I129" s="16" t="inlineStr">
        <is>
          <t>2.86 万元/套</t>
        </is>
      </c>
      <c r="J129" s="16" t="inlineStr"/>
      <c r="K129" s="16" t="inlineStr">
        <is>
          <t>含数据采集卡和软件；内外资混合</t>
        </is>
      </c>
      <c r="L129" s="16" t="inlineStr">
        <is>
          <t>华宝 p22–23</t>
        </is>
      </c>
      <c r="M129" s="16" t="inlineStr">
        <is>
          <t>中</t>
        </is>
      </c>
    </row>
    <row r="130">
      <c r="A130" s="16" t="inlineStr">
        <is>
          <t>D-43</t>
        </is>
      </c>
      <c r="B130" s="16" t="inlineStr">
        <is>
          <t>需求与价格</t>
        </is>
      </c>
      <c r="C130" s="16" t="inlineStr"/>
      <c r="D130" s="16" t="inlineStr">
        <is>
          <t>2023 年中国均价</t>
        </is>
      </c>
      <c r="E130" s="16" t="inlineStr">
        <is>
          <t>出货 9,450 台，"平均价格为2.4万元/台"，人形只占 2%</t>
        </is>
      </c>
      <c r="F130" s="16" t="inlineStr">
        <is>
          <t>MIR 睿工业（交银国际转引）</t>
        </is>
      </c>
      <c r="G130" s="16" t="inlineStr">
        <is>
          <t>2023</t>
        </is>
      </c>
      <c r="H130" s="16" t="inlineStr">
        <is>
          <t>实际</t>
        </is>
      </c>
      <c r="I130" s="16" t="inlineStr">
        <is>
          <t>2.4 万元</t>
        </is>
      </c>
      <c r="J130" s="16" t="inlineStr"/>
      <c r="K130" s="16" t="inlineStr">
        <is>
          <t>全行业，内外资混合</t>
        </is>
      </c>
      <c r="L130" s="16" t="inlineStr">
        <is>
          <t>本地 05_券商深度研报/交银国际_人形机器人系列3_高精密零部件_2026-06.pdf p57</t>
        </is>
      </c>
      <c r="M130" s="16" t="inlineStr">
        <is>
          <t>中</t>
        </is>
      </c>
    </row>
    <row r="131">
      <c r="A131" s="16" t="inlineStr">
        <is>
          <t>D-44</t>
        </is>
      </c>
      <c r="B131" s="16" t="inlineStr">
        <is>
          <t>需求与价格</t>
        </is>
      </c>
      <c r="C131" s="16" t="inlineStr"/>
      <c r="D131" s="16" t="inlineStr">
        <is>
          <t>2024 年价格与成本</t>
        </is>
      </c>
      <c r="E131" s="16" t="inlineStr">
        <is>
          <t>平均单价 2–4 万左右，"而成本在数千元"</t>
        </is>
      </c>
      <c r="F131" s="16" t="inlineStr">
        <is>
          <t>华宝（引 MIR）</t>
        </is>
      </c>
      <c r="G131" s="16" t="inlineStr">
        <is>
          <t>2024-04-15</t>
        </is>
      </c>
      <c r="H131" s="16" t="inlineStr">
        <is>
          <t>实际</t>
        </is>
      </c>
      <c r="I131" s="16" t="inlineStr">
        <is>
          <t>售价 2–4 万元，成本数千元</t>
        </is>
      </c>
      <c r="J131" s="16" t="inlineStr">
        <is>
          <t>假设：相关业务毛利率</t>
        </is>
      </c>
      <c r="K131" s="16" t="inlineStr">
        <is>
          <t>定性</t>
        </is>
      </c>
      <c r="L131" s="16" t="inlineStr">
        <is>
          <t>华宝 p1、p22</t>
        </is>
      </c>
      <c r="M131" s="16" t="inlineStr">
        <is>
          <t>中</t>
        </is>
      </c>
    </row>
    <row r="132">
      <c r="A132" s="16" t="inlineStr">
        <is>
          <t>D-45</t>
        </is>
      </c>
      <c r="B132" s="16" t="inlineStr">
        <is>
          <t>需求与价格</t>
        </is>
      </c>
      <c r="C132" s="16" t="inlineStr"/>
      <c r="D132" s="16" t="inlineStr">
        <is>
          <t>国产挂牌价区间</t>
        </is>
      </c>
      <c r="E132" s="16" t="inlineStr">
        <is>
          <t>国产六维力价格"在0.1-4万人民币/台之间"；瑞尔特 1,280 元，海伯森 4 万元</t>
        </is>
      </c>
      <c r="F132" s="16" t="inlineStr">
        <is>
          <t>华宝（据爱采购平台）</t>
        </is>
      </c>
      <c r="G132" s="16" t="inlineStr">
        <is>
          <t>2024-04</t>
        </is>
      </c>
      <c r="H132" s="16" t="inlineStr">
        <is>
          <t>实际（挂牌价）</t>
        </is>
      </c>
      <c r="I132" s="16" t="inlineStr">
        <is>
          <t>0.1–4 万元</t>
        </is>
      </c>
      <c r="J132" s="16" t="inlineStr"/>
      <c r="K132" s="16" t="inlineStr">
        <is>
          <t>挂牌价和量产采购价差别很大</t>
        </is>
      </c>
      <c r="L132" s="16" t="inlineStr">
        <is>
          <t>华宝 p28、p33、p36</t>
        </is>
      </c>
      <c r="M132" s="16" t="inlineStr">
        <is>
          <t>中</t>
        </is>
      </c>
    </row>
    <row r="133">
      <c r="A133" s="16" t="inlineStr">
        <is>
          <t>D-46</t>
        </is>
      </c>
      <c r="B133" s="16" t="inlineStr">
        <is>
          <t>需求与价格</t>
        </is>
      </c>
      <c r="C133" s="16" t="inlineStr"/>
      <c r="D133" s="16" t="inlineStr">
        <is>
          <t>宇立（SRI）供优必选单价</t>
        </is>
      </c>
      <c r="E133" s="16" t="inlineStr">
        <is>
          <t>原文："单价约在 1.5 万/台"</t>
        </is>
      </c>
      <c r="F133" s="16" t="inlineStr">
        <is>
          <t>华宝（据优必选招股书及宇立公众号）</t>
        </is>
      </c>
      <c r="G133" s="16" t="inlineStr">
        <is>
          <t>2024-04</t>
        </is>
      </c>
      <c r="H133" s="16" t="inlineStr">
        <is>
          <t>实际（研报推算）</t>
        </is>
      </c>
      <c r="I133" s="16" t="inlineStr">
        <is>
          <t>1.5 万元</t>
        </is>
      </c>
      <c r="J133" s="16" t="inlineStr"/>
      <c r="K133" s="16" t="inlineStr">
        <is>
          <t>本稿未能在招股书原文中找到对应表述</t>
        </is>
      </c>
      <c r="L133" s="16" t="inlineStr">
        <is>
          <t>华宝 p30</t>
        </is>
      </c>
      <c r="M133" s="16" t="inlineStr">
        <is>
          <t>中-</t>
        </is>
      </c>
    </row>
    <row r="134">
      <c r="A134" s="16" t="inlineStr">
        <is>
          <t>D-47</t>
        </is>
      </c>
      <c r="B134" s="16" t="inlineStr">
        <is>
          <t>需求与价格</t>
        </is>
      </c>
      <c r="C134" s="16" t="inlineStr"/>
      <c r="D134" s="16" t="inlineStr">
        <is>
          <t>2025 年人形专用单价（GGII）</t>
        </is>
      </c>
      <c r="E134" s="16" t="inlineStr">
        <is>
          <t>单价约 1–3 万元</t>
        </is>
      </c>
      <c r="F134" s="16" t="inlineStr">
        <is>
          <t>GGII《2025中国人形机器人六维力传感器市场分析报告》</t>
        </is>
      </c>
      <c r="G134" s="16" t="inlineStr">
        <is>
          <t>2025-11</t>
        </is>
      </c>
      <c r="H134" s="16" t="inlineStr">
        <is>
          <t>实际</t>
        </is>
      </c>
      <c r="I134" s="16" t="inlineStr">
        <is>
          <t>1–3 万元</t>
        </is>
      </c>
      <c r="J134" s="16" t="inlineStr"/>
      <c r="K134" s="16" t="inlineStr">
        <is>
          <t>转载稿</t>
        </is>
      </c>
      <c r="L134" s="16" t="inlineStr">
        <is>
          <t>https://blog.csdn.net/tingyun2015/article/details/155314932</t>
        </is>
      </c>
      <c r="M134" s="16" t="inlineStr">
        <is>
          <t>中</t>
        </is>
      </c>
    </row>
    <row r="135">
      <c r="A135" s="16" t="inlineStr">
        <is>
          <t>D-48</t>
        </is>
      </c>
      <c r="B135" s="16" t="inlineStr">
        <is>
          <t>需求与价格</t>
        </is>
      </c>
      <c r="C135" s="16" t="inlineStr"/>
      <c r="D135" s="16" t="inlineStr">
        <is>
          <t>2025 年人形专用单价（国信）</t>
        </is>
      </c>
      <c r="E135" s="16" t="inlineStr">
        <is>
          <t>原文："单价约 1-2 万元"，有望下探到 1,000–2,000 元</t>
        </is>
      </c>
      <c r="F135" s="16" t="inlineStr">
        <is>
          <t>国信证券《人形机器人系列专题之六维力传感器》（引 GGII）</t>
        </is>
      </c>
      <c r="G135" s="16" t="inlineStr">
        <is>
          <t>2025-05-13</t>
        </is>
      </c>
      <c r="H135" s="16" t="inlineStr">
        <is>
          <t>实际 + 预测</t>
        </is>
      </c>
      <c r="I135" s="16" t="inlineStr">
        <is>
          <t>1–2 万元，远期 0.1–0.2 万元</t>
        </is>
      </c>
      <c r="J135" s="16" t="inlineStr">
        <is>
          <t>假设：2025 国产人形专用单价</t>
        </is>
      </c>
      <c r="K135" s="16" t="inlineStr">
        <is>
          <t>远期未给时间点</t>
        </is>
      </c>
      <c r="L135" s="16" t="inlineStr">
        <is>
          <t>https://pdf.dfcfw.com/pdf/H3_AP202505131672221449_1.pdf p1、p27；本地 国信蓝皮书 p171</t>
        </is>
      </c>
      <c r="M135" s="16" t="inlineStr">
        <is>
          <t>中</t>
        </is>
      </c>
    </row>
    <row r="136">
      <c r="A136" s="16" t="inlineStr">
        <is>
          <t>D-49</t>
        </is>
      </c>
      <c r="B136" s="16" t="inlineStr">
        <is>
          <t>需求与价格</t>
        </is>
      </c>
      <c r="C136" s="16" t="inlineStr"/>
      <c r="D136" s="16" t="inlineStr">
        <is>
          <t>2025 年中国人形隐含均价</t>
        </is>
      </c>
      <c r="E136" s="16" t="inlineStr">
        <is>
          <t>GGII：2.46 亿 ÷ 1.23 万台 ≈ 2.0 万元；赛迪：3.3 亿 ÷ 1.32 万颗 ≈ 2.5 万元</t>
        </is>
      </c>
      <c r="F136" s="16" t="inlineStr">
        <is>
          <t>本稿推算</t>
        </is>
      </c>
      <c r="G136" s="16" t="inlineStr">
        <is>
          <t>2025</t>
        </is>
      </c>
      <c r="H136" s="16" t="inlineStr">
        <is>
          <t>测算（本稿推算）</t>
        </is>
      </c>
      <c r="I136" s="16" t="inlineStr">
        <is>
          <t>2.0–2.5 万元/颗</t>
        </is>
      </c>
      <c r="J136" s="16" t="inlineStr">
        <is>
          <t>假设：2025 国产人形专用单价</t>
        </is>
      </c>
      <c r="K136" s="16" t="inlineStr">
        <is>
          <t>金额口径（可能含税、配件，含少量外资）</t>
        </is>
      </c>
      <c r="L136" s="16" t="inlineStr">
        <is>
          <t>见 D-55、D-57</t>
        </is>
      </c>
      <c r="M136" s="16" t="inlineStr">
        <is>
          <t>中</t>
        </is>
      </c>
    </row>
    <row r="137">
      <c r="A137" s="16" t="inlineStr">
        <is>
          <t>D-50</t>
        </is>
      </c>
      <c r="B137" s="16" t="inlineStr">
        <is>
          <t>需求与价格</t>
        </is>
      </c>
      <c r="C137" s="16" t="inlineStr"/>
      <c r="D137" s="16" t="inlineStr">
        <is>
          <t>2025–2026 国产与外资对比</t>
        </is>
      </c>
      <c r="E137" s="16" t="inlineStr">
        <is>
          <t>国产主流"数千元至3万元/颗"；外资高端 7–8 万元/颗，是国产的 2–3 倍</t>
        </is>
      </c>
      <c r="F137" s="16" t="inlineStr">
        <is>
          <t>赛迪 × 中国电子报</t>
        </is>
      </c>
      <c r="G137" s="16" t="inlineStr">
        <is>
          <t>2026-08-31</t>
        </is>
      </c>
      <c r="H137" s="16" t="inlineStr">
        <is>
          <t>实际</t>
        </is>
      </c>
      <c r="I137" s="16" t="inlineStr">
        <is>
          <t>国产 0.x–3 万；外资 7–8 万（对照）</t>
        </is>
      </c>
      <c r="J137" s="16" t="inlineStr"/>
      <c r="K137" s="16" t="inlineStr">
        <is>
          <t>—</t>
        </is>
      </c>
      <c r="L137" s="16" t="inlineStr">
        <is>
          <t>https://www.robotsj.cn/jishuganhuo/2382.html</t>
        </is>
      </c>
      <c r="M137" s="16" t="inlineStr">
        <is>
          <t>中</t>
        </is>
      </c>
    </row>
    <row r="138">
      <c r="A138" s="16" t="inlineStr">
        <is>
          <t>D-51</t>
        </is>
      </c>
      <c r="B138" s="16" t="inlineStr">
        <is>
          <t>需求与价格</t>
        </is>
      </c>
      <c r="C138" s="16" t="inlineStr"/>
      <c r="D138" s="16" t="inlineStr">
        <is>
          <t>国产量产成本</t>
        </is>
      </c>
      <c r="E138" s="16" t="inlineStr">
        <is>
          <t>头部国产厂商量产成本"下探至万元"；傅利叶称成本 &lt;5,000 元</t>
        </is>
      </c>
      <c r="F138" s="16" t="inlineStr">
        <is>
          <t>投资界（蓝点 IROS 报道）；傅利叶</t>
        </is>
      </c>
      <c r="G138" s="16" t="inlineStr">
        <is>
          <t>2026-09 / 2025-12</t>
        </is>
      </c>
      <c r="H138" s="16" t="inlineStr">
        <is>
          <t>实际（公司宣传）</t>
        </is>
      </c>
      <c r="I138" s="16" t="inlineStr">
        <is>
          <t>成本 0.5–1 万元</t>
        </is>
      </c>
      <c r="J138" s="16" t="inlineStr"/>
      <c r="K138" s="16" t="inlineStr">
        <is>
          <t>宣传口径</t>
        </is>
      </c>
      <c r="L138" s="16" t="inlineStr">
        <is>
          <t>https://news.pedaily.cn/202609/569686.shtml ；D-13</t>
        </is>
      </c>
      <c r="M138" s="16" t="inlineStr">
        <is>
          <t>中-</t>
        </is>
      </c>
    </row>
    <row r="139">
      <c r="A139" s="16" t="inlineStr">
        <is>
          <t>D-52</t>
        </is>
      </c>
      <c r="B139" s="16" t="inlineStr">
        <is>
          <t>需求与价格</t>
        </is>
      </c>
      <c r="C139" s="16" t="inlineStr"/>
      <c r="D139" s="16" t="inlineStr">
        <is>
          <t>中金价格路径</t>
        </is>
      </c>
      <c r="E139" s="16" t="inlineStr">
        <is>
          <t>2024 年 2 万，2025–2027 年降到 1 万、0.8 万、0.5 万元，此后每年降 10%</t>
        </is>
      </c>
      <c r="F139" s="16" t="inlineStr">
        <is>
          <t>中金</t>
        </is>
      </c>
      <c r="G139" s="16" t="inlineStr">
        <is>
          <t>2025-06-24</t>
        </is>
      </c>
      <c r="H139" s="16" t="inlineStr">
        <is>
          <t>预测</t>
        </is>
      </c>
      <c r="I139" s="16" t="inlineStr">
        <is>
          <t>2030 年约 3,645 元（本稿按其规则推算）</t>
        </is>
      </c>
      <c r="J139" s="16" t="inlineStr">
        <is>
          <t>假设：2025 国产人形专用单价；假设：年降价幅度 2026–2027；假设：年降价幅度 2028–2030</t>
        </is>
      </c>
      <c r="K139" s="16" t="inlineStr">
        <is>
          <t>2025 年 1 万元低于 GGII/赛迪隐含均价</t>
        </is>
      </c>
      <c r="L139" s="16" t="inlineStr">
        <is>
          <t>同 D-23</t>
        </is>
      </c>
      <c r="M139" s="16" t="inlineStr">
        <is>
          <t>中</t>
        </is>
      </c>
    </row>
    <row r="140">
      <c r="A140" s="16" t="inlineStr">
        <is>
          <t>D-53</t>
        </is>
      </c>
      <c r="B140" s="16" t="inlineStr">
        <is>
          <t>需求与价格</t>
        </is>
      </c>
      <c r="C140" s="16" t="inlineStr"/>
      <c r="D140" s="16" t="inlineStr">
        <is>
          <t>华宝三情景价格路径</t>
        </is>
      </c>
      <c r="E140" s="16" t="inlineStr">
        <is>
          <t>中性：3 万（2023）→ 1.84 万（2026）→ 0.79 万（2030），前三年每年降 15%</t>
        </is>
      </c>
      <c r="F140" s="16" t="inlineStr">
        <is>
          <t>华宝表10</t>
        </is>
      </c>
      <c r="G140" s="16" t="inlineStr">
        <is>
          <t>2024-04-15</t>
        </is>
      </c>
      <c r="H140" s="16" t="inlineStr">
        <is>
          <t>预测</t>
        </is>
      </c>
      <c r="I140" s="16" t="inlineStr">
        <is>
          <t>2030 年 0.54–1.32 万元</t>
        </is>
      </c>
      <c r="J140" s="16" t="inlineStr">
        <is>
          <t>假设：年降价幅度 2026–2027；假设：年降价幅度 2028–2030</t>
        </is>
      </c>
      <c r="K140" s="16" t="inlineStr">
        <is>
          <t>假设与整机降价同步</t>
        </is>
      </c>
      <c r="L140" s="16" t="inlineStr">
        <is>
          <t>华宝 p25–26</t>
        </is>
      </c>
      <c r="M140" s="16" t="inlineStr">
        <is>
          <t>中</t>
        </is>
      </c>
    </row>
    <row r="141">
      <c r="A141" s="16" t="inlineStr">
        <is>
          <t>D-54</t>
        </is>
      </c>
      <c r="B141" s="16" t="inlineStr">
        <is>
          <t>需求与价格</t>
        </is>
      </c>
      <c r="C141" s="16" t="inlineStr"/>
      <c r="D141" s="16" t="inlineStr">
        <is>
          <t>短期与远期降幅</t>
        </is>
      </c>
      <c r="E141" s="16" t="inlineStr">
        <is>
          <t>赛迪："未来1～2年再降30%左右"；交银："可能下降至5000元以内"；东吴 Optimus 表：2 万降到 0.5 万元（-75%）</t>
        </is>
      </c>
      <c r="F141" s="16" t="inlineStr">
        <is>
          <t>赛迪（解读稿）；交银；东吴</t>
        </is>
      </c>
      <c r="G141" s="16" t="inlineStr">
        <is>
          <t>2026-08 / 2026-06 / 2026-02</t>
        </is>
      </c>
      <c r="H141" s="16" t="inlineStr">
        <is>
          <t>预测</t>
        </is>
      </c>
      <c r="I141" s="16" t="inlineStr">
        <is>
          <t>-30%（1–2 年）；远期 &lt;5,000 元</t>
        </is>
      </c>
      <c r="J141" s="16" t="inlineStr">
        <is>
          <t>假设：年降价幅度 2026–2027</t>
        </is>
      </c>
      <c r="K141" s="16" t="inlineStr">
        <is>
          <t>赛迪的降幅只见于解读稿</t>
        </is>
      </c>
      <c r="L141" s="16" t="inlineStr">
        <is>
          <t>https://mtz.china.com/touzi/2026/0831/263958.html ；本地 交银 p56；东吴 p10</t>
        </is>
      </c>
      <c r="M141" s="16" t="inlineStr">
        <is>
          <t>中- / 中</t>
        </is>
      </c>
    </row>
    <row r="142">
      <c r="A142" s="16" t="inlineStr">
        <is>
          <t>D-55</t>
        </is>
      </c>
      <c r="B142" s="16" t="inlineStr">
        <is>
          <t>需求与价格</t>
        </is>
      </c>
      <c r="C142" s="16" t="inlineStr"/>
      <c r="D142" s="16" t="inlineStr">
        <is>
          <t>成本结构（GGII）</t>
        </is>
      </c>
      <c r="E142" s="16" t="inlineStr">
        <is>
          <t>材料约 35%（弹性体 21%、应变片 10%、封装 4%），加工 30%，标定测试 20%，研发 15%</t>
        </is>
      </c>
      <c r="F142" s="16" t="inlineStr">
        <is>
          <t>GGII 蓝皮书</t>
        </is>
      </c>
      <c r="G142" s="16" t="inlineStr">
        <is>
          <t>2026-09</t>
        </is>
      </c>
      <c r="H142" s="16" t="inlineStr">
        <is>
          <t>实际（典型国产产品）</t>
        </is>
      </c>
      <c r="I142" s="16" t="inlineStr">
        <is>
          <t>35/30/20/15</t>
        </is>
      </c>
      <c r="J142" s="16" t="inlineStr"/>
      <c r="K142" s="16" t="inlineStr">
        <is>
          <t>无毛利率</t>
        </is>
      </c>
      <c r="L142" s="16" t="inlineStr">
        <is>
          <t>本地 GGII 蓝皮书 p55</t>
        </is>
      </c>
      <c r="M142" s="16" t="inlineStr">
        <is>
          <t>中</t>
        </is>
      </c>
    </row>
    <row r="143">
      <c r="A143" s="16" t="inlineStr">
        <is>
          <t>D-56</t>
        </is>
      </c>
      <c r="B143" s="16" t="inlineStr">
        <is>
          <t>需求与价格</t>
        </is>
      </c>
      <c r="C143" s="16" t="inlineStr"/>
      <c r="D143" s="16" t="inlineStr">
        <is>
          <t>成本结构（交银）</t>
        </is>
      </c>
      <c r="E143" s="16" t="inlineStr">
        <is>
          <t>原文："超 50%的成本来自于应变片和人工加工成本"</t>
        </is>
      </c>
      <c r="F143" s="16" t="inlineStr">
        <is>
          <t>交银国际</t>
        </is>
      </c>
      <c r="G143" s="16" t="inlineStr">
        <is>
          <t>2026-06</t>
        </is>
      </c>
      <c r="H143" s="16" t="inlineStr">
        <is>
          <t>实际</t>
        </is>
      </c>
      <c r="I143" s="16" t="inlineStr">
        <is>
          <t>&gt;50%</t>
        </is>
      </c>
      <c r="J143" s="16" t="inlineStr"/>
      <c r="K143" s="16" t="inlineStr">
        <is>
          <t>—</t>
        </is>
      </c>
      <c r="L143" s="16" t="inlineStr">
        <is>
          <t>本地 交银 p56</t>
        </is>
      </c>
      <c r="M143" s="16" t="inlineStr">
        <is>
          <t>中</t>
        </is>
      </c>
    </row>
    <row r="144">
      <c r="A144" s="16" t="inlineStr">
        <is>
          <t>D-57</t>
        </is>
      </c>
      <c r="B144" s="16" t="inlineStr">
        <is>
          <t>需求与价格</t>
        </is>
      </c>
      <c r="C144" s="16" t="inlineStr"/>
      <c r="D144" s="16" t="inlineStr">
        <is>
          <t>毛利率</t>
        </is>
      </c>
      <c r="E144" s="16" t="inlineStr">
        <is>
          <t>柯力传感 2023 年报"传感器毛利率达到 41%"；柯力 2026H1 综合毛利率 45.72%</t>
        </is>
      </c>
      <c r="F144" s="16" t="inlineStr">
        <is>
          <t>交银转引柯力年报；柯力半年报</t>
        </is>
      </c>
      <c r="G144" s="16" t="inlineStr">
        <is>
          <t>2023 / 2026H1</t>
        </is>
      </c>
      <c r="H144" s="16" t="inlineStr">
        <is>
          <t>实际</t>
        </is>
      </c>
      <c r="I144" s="16" t="inlineStr">
        <is>
          <t>41% / 45.72%</t>
        </is>
      </c>
      <c r="J144" s="16" t="inlineStr">
        <is>
          <t>假设：相关业务毛利率</t>
        </is>
      </c>
      <c r="K144" s="16" t="inlineStr">
        <is>
          <t>六维力单品和人形专用型号毛利率：未找到</t>
        </is>
      </c>
      <c r="L144" s="16" t="inlineStr">
        <is>
          <t>本地 交银 p56；research_ch3_sense_compute_sw.md</t>
        </is>
      </c>
      <c r="M144" s="16" t="inlineStr">
        <is>
          <t>中 / 高</t>
        </is>
      </c>
    </row>
    <row r="145">
      <c r="A145" s="16" t="inlineStr">
        <is>
          <t>D-58</t>
        </is>
      </c>
      <c r="B145" s="16" t="inlineStr">
        <is>
          <t>需求与价格</t>
        </is>
      </c>
      <c r="C145" s="16" t="inlineStr"/>
      <c r="D145" s="16" t="inlineStr">
        <is>
          <t>六维力占整机 BOM</t>
        </is>
      </c>
      <c r="E145" s="16" t="inlineStr">
        <is>
          <t>约占整机 BOM 的 15%</t>
        </is>
      </c>
      <c r="F145" s="16" t="inlineStr">
        <is>
          <t>赛迪；华宝</t>
        </is>
      </c>
      <c r="G145" s="16" t="inlineStr">
        <is>
          <t>2026-08 / 2024-04</t>
        </is>
      </c>
      <c r="H145" s="16" t="inlineStr">
        <is>
          <t>测算</t>
        </is>
      </c>
      <c r="I145" s="16" t="inlineStr">
        <is>
          <t>约 15%</t>
        </is>
      </c>
      <c r="J145" s="16" t="inlineStr"/>
      <c r="K145" s="16" t="inlineStr">
        <is>
          <t>与 Counterpoint 估计 Optimus V3 全部传感器才占 13.2% 冲突</t>
        </is>
      </c>
      <c r="L145" s="16" t="inlineStr">
        <is>
          <t>D-18；华宝 p22；本地 中银 p17</t>
        </is>
      </c>
      <c r="M145" s="16" t="inlineStr">
        <is>
          <t>中-</t>
        </is>
      </c>
    </row>
    <row r="146">
      <c r="A146" s="16" t="inlineStr">
        <is>
          <t>D-59</t>
        </is>
      </c>
      <c r="B146" s="16" t="inlineStr">
        <is>
          <t>需求与价格</t>
        </is>
      </c>
      <c r="C146" s="16" t="inlineStr"/>
      <c r="D146" s="16" t="inlineStr">
        <is>
          <t>进口对照</t>
        </is>
      </c>
      <c r="E146" s="16" t="inlineStr">
        <is>
          <t>ATI 典型型号 3–14 万元/台；海外厂商约 1 万美元/台</t>
        </is>
      </c>
      <c r="F146" s="16" t="inlineStr">
        <is>
          <t>华宝（据爱采购、emotion-supply）</t>
        </is>
      </c>
      <c r="G146" s="16" t="inlineStr">
        <is>
          <t>2024-04</t>
        </is>
      </c>
      <c r="H146" s="16" t="inlineStr">
        <is>
          <t>实际（挂牌价）</t>
        </is>
      </c>
      <c r="I146" s="16" t="inlineStr">
        <is>
          <t>3–14 万元</t>
        </is>
      </c>
      <c r="J146" s="16" t="inlineStr"/>
      <c r="K146" s="16" t="inlineStr">
        <is>
          <t>只作对照</t>
        </is>
      </c>
      <c r="L146" s="16" t="inlineStr">
        <is>
          <t>华宝 p28</t>
        </is>
      </c>
      <c r="M146" s="16" t="inlineStr">
        <is>
          <t>中</t>
        </is>
      </c>
    </row>
    <row r="147">
      <c r="A147" s="16" t="inlineStr">
        <is>
          <t>D-60</t>
        </is>
      </c>
      <c r="B147" s="16" t="inlineStr">
        <is>
          <t>需求与价格</t>
        </is>
      </c>
      <c r="C147" s="16" t="inlineStr"/>
      <c r="D147" s="16" t="inlineStr">
        <is>
          <t>GGII 2025 年中国人形六维力</t>
        </is>
      </c>
      <c r="E147" s="16" t="inlineStr">
        <is>
          <t>原文："出货量预计1.23万台，同比激增510.1%"，规模约 2.46 亿元</t>
        </is>
      </c>
      <c r="F147" s="16" t="inlineStr">
        <is>
          <t>高工机器人产业研究所（GGII）《2025中国人形机器人六维力传感器市场分析报告》</t>
        </is>
      </c>
      <c r="G147" s="16" t="inlineStr">
        <is>
          <t>2025-11-27 前后</t>
        </is>
      </c>
      <c r="H147" s="16" t="inlineStr">
        <is>
          <t>预测（年内预估）</t>
        </is>
      </c>
      <c r="I147" s="16" t="inlineStr">
        <is>
          <t>1.23 万台 / 2.46 亿元</t>
        </is>
      </c>
      <c r="J147" s="16" t="inlineStr"/>
      <c r="K147" s="16" t="inlineStr">
        <is>
          <t>年底前发布的预估值；单位"台"；未说明是否含样机</t>
        </is>
      </c>
      <c r="L147" s="16" t="inlineStr">
        <is>
          <t>https://news.qq.com/rain/a/20251127A04V5E00 ；https://blog.csdn.net/tingyun2015/article/details/155314932</t>
        </is>
      </c>
      <c r="M147" s="16" t="inlineStr">
        <is>
          <t>中</t>
        </is>
      </c>
    </row>
    <row r="148">
      <c r="A148" s="16" t="inlineStr">
        <is>
          <t>D-61</t>
        </is>
      </c>
      <c r="B148" s="16" t="inlineStr">
        <is>
          <t>需求与价格</t>
        </is>
      </c>
      <c r="C148" s="16" t="inlineStr"/>
      <c r="D148" s="16" t="inlineStr">
        <is>
          <t>GGII 2030 年中国人形六维力</t>
        </is>
      </c>
      <c r="E148" s="16" t="inlineStr">
        <is>
          <t>出货"46万台以上"，规模突破 18 亿元；乐观情形 2035 年百亿级</t>
        </is>
      </c>
      <c r="F148" s="16" t="inlineStr">
        <is>
          <t>GGII（同上）</t>
        </is>
      </c>
      <c r="G148" s="16" t="inlineStr">
        <is>
          <t>2025-11</t>
        </is>
      </c>
      <c r="H148" s="16" t="inlineStr">
        <is>
          <t>预测</t>
        </is>
      </c>
      <c r="I148" s="16" t="inlineStr">
        <is>
          <t>46 万台 / 18 亿元；隐含均价约 3,900 元</t>
        </is>
      </c>
      <c r="J148" s="16" t="inlineStr"/>
      <c r="K148" s="16" t="inlineStr">
        <is>
          <t>腾讯稿写作"业内预计"，归属不够清楚</t>
        </is>
      </c>
      <c r="L148" s="16" t="inlineStr">
        <is>
          <t>同上</t>
        </is>
      </c>
      <c r="M148" s="16" t="inlineStr">
        <is>
          <t>中</t>
        </is>
      </c>
    </row>
    <row r="149">
      <c r="A149" s="16" t="inlineStr">
        <is>
          <t>D-62</t>
        </is>
      </c>
      <c r="B149" s="16" t="inlineStr">
        <is>
          <t>需求与价格</t>
        </is>
      </c>
      <c r="C149" s="16" t="inlineStr"/>
      <c r="D149" s="16" t="inlineStr">
        <is>
          <t>GGII 2030 年全球（旧版，对照）</t>
        </is>
      </c>
      <c r="E149" s="16" t="inlineStr">
        <is>
          <t>原文："2030 年人形机器人领域六维力传感器市场规模将达 138.4 亿元"（图标为全球）</t>
        </is>
      </c>
      <c r="F149" s="16" t="inlineStr">
        <is>
          <t>GGII（国信 2025-05 转引）</t>
        </is>
      </c>
      <c r="G149" s="16" t="inlineStr">
        <is>
          <t>2025-05</t>
        </is>
      </c>
      <c r="H149" s="16" t="inlineStr">
        <is>
          <t>预测</t>
        </is>
      </c>
      <c r="I149" s="16" t="inlineStr">
        <is>
          <t>138.4 亿元（全球）</t>
        </is>
      </c>
      <c r="J149" s="16" t="inlineStr"/>
      <c r="K149" s="16" t="inlineStr">
        <is>
          <t>比中国口径 18 亿元高 7 倍以上，版本和地域都不同，不宜混用</t>
        </is>
      </c>
      <c r="L149" s="16" t="inlineStr">
        <is>
          <t>https://pdf.dfcfw.com/pdf/H3_AP202505131672221449_1.pdf p27</t>
        </is>
      </c>
      <c r="M149" s="16" t="inlineStr">
        <is>
          <t>中-</t>
        </is>
      </c>
    </row>
    <row r="150">
      <c r="A150" s="16" t="inlineStr">
        <is>
          <t>D-63</t>
        </is>
      </c>
      <c r="B150" s="16" t="inlineStr">
        <is>
          <t>需求与价格</t>
        </is>
      </c>
      <c r="C150" s="16" t="inlineStr"/>
      <c r="D150" s="16" t="inlineStr">
        <is>
          <t>赛迪 2025 年中国人形六维力</t>
        </is>
      </c>
      <c r="E150" s="16" t="inlineStr">
        <is>
          <t>原文："总用量约1.32万颗"，规模约 3.3 亿元</t>
        </is>
      </c>
      <c r="F150" s="16" t="inlineStr">
        <is>
          <t>北京赛迪出版传媒有限公司 × 《中国电子报》《2026年中国人形机器人六维力传感器市场调研报告》</t>
        </is>
      </c>
      <c r="G150" s="16" t="inlineStr">
        <is>
          <t>2026-08-31</t>
        </is>
      </c>
      <c r="H150" s="16" t="inlineStr">
        <is>
          <t>实际（年度回顾）</t>
        </is>
      </c>
      <c r="I150" s="16" t="inlineStr">
        <is>
          <t>1.32 万颗 / 3.3 亿元</t>
        </is>
      </c>
      <c r="J150" s="16" t="inlineStr"/>
      <c r="K150" s="16" t="inlineStr">
        <is>
          <t>发布方不是"赛迪顾问"；单位"颗"，是用量口径</t>
        </is>
      </c>
      <c r="L150" s="16" t="inlineStr">
        <is>
          <t>https://www.robotsj.cn/jishuganhuo/2382.html ；https://news.pedaily.cn/202608/568352.shtml</t>
        </is>
      </c>
      <c r="M150" s="16" t="inlineStr">
        <is>
          <t>中</t>
        </is>
      </c>
    </row>
    <row r="151">
      <c r="A151" s="16" t="inlineStr">
        <is>
          <t>D-64</t>
        </is>
      </c>
      <c r="B151" s="16" t="inlineStr">
        <is>
          <t>需求与价格</t>
        </is>
      </c>
      <c r="C151" s="16" t="inlineStr"/>
      <c r="D151" s="16" t="inlineStr">
        <is>
          <t>赛迪 2030 年中国</t>
        </is>
      </c>
      <c r="E151" s="16" t="inlineStr">
        <is>
          <t>出货约 120 万颗，规模约 60 亿元，CAGR &gt;100%；中国人形销量 40 万台</t>
        </is>
      </c>
      <c r="F151" s="16" t="inlineStr">
        <is>
          <t>同上</t>
        </is>
      </c>
      <c r="G151" s="16" t="inlineStr">
        <is>
          <t>2026-08-31</t>
        </is>
      </c>
      <c r="H151" s="16" t="inlineStr">
        <is>
          <t>预测</t>
        </is>
      </c>
      <c r="I151" s="16" t="inlineStr">
        <is>
          <t>120 万颗 / 60 亿元；隐含均价 5,000 元</t>
        </is>
      </c>
      <c r="J151" s="16" t="inlineStr"/>
      <c r="K151" s="16" t="inlineStr">
        <is>
          <t>规模 CAGR 实际约 79%，"&gt;100%"应指出货量；40 万台只见于解读稿</t>
        </is>
      </c>
      <c r="L151" s="16" t="inlineStr">
        <is>
          <t>同上；https://mtz.china.com/touzi/2026/0831/263958.html</t>
        </is>
      </c>
      <c r="M151" s="16" t="inlineStr">
        <is>
          <t>中</t>
        </is>
      </c>
    </row>
    <row r="152">
      <c r="A152" s="16" t="inlineStr">
        <is>
          <t>D-65</t>
        </is>
      </c>
      <c r="B152" s="16" t="inlineStr">
        <is>
          <t>需求与价格</t>
        </is>
      </c>
      <c r="C152" s="16" t="inlineStr"/>
      <c r="D152" s="16" t="inlineStr">
        <is>
          <t>赛迪 2025 年格局</t>
        </is>
      </c>
      <c r="E152" s="16" t="inlineStr">
        <is>
          <t>CR3 92.8%：蓝点 80.3%、坤维 9.2%、宇立 3.3%；中国人形出货 1.44 万台</t>
        </is>
      </c>
      <c r="F152" s="16" t="inlineStr">
        <is>
          <t>同上</t>
        </is>
      </c>
      <c r="G152" s="16" t="inlineStr">
        <is>
          <t>2026-08-31</t>
        </is>
      </c>
      <c r="H152" s="16" t="inlineStr">
        <is>
          <t>实际</t>
        </is>
      </c>
      <c r="I152" s="16" t="inlineStr">
        <is>
          <t>—</t>
        </is>
      </c>
      <c r="J152" s="16" t="inlineStr"/>
      <c r="K152" s="16" t="inlineStr">
        <is>
          <t>1.44 万台低于 GGII 的 1.8 万台</t>
        </is>
      </c>
      <c r="L152" s="16" t="inlineStr">
        <is>
          <t>同上</t>
        </is>
      </c>
      <c r="M152" s="16" t="inlineStr">
        <is>
          <t>中</t>
        </is>
      </c>
    </row>
    <row r="153">
      <c r="A153" s="16" t="inlineStr">
        <is>
          <t>D-66</t>
        </is>
      </c>
      <c r="B153" s="16" t="inlineStr">
        <is>
          <t>需求与价格</t>
        </is>
      </c>
      <c r="C153" s="16" t="inlineStr"/>
      <c r="D153" s="16" t="inlineStr">
        <is>
          <t>GGII 份额</t>
        </is>
      </c>
      <c r="E153" s="16" t="inlineStr">
        <is>
          <t>蓝点触控 2025 年前三季度份额 72.6%</t>
        </is>
      </c>
      <c r="F153" s="16" t="inlineStr">
        <is>
          <t>GGII</t>
        </is>
      </c>
      <c r="G153" s="16" t="inlineStr">
        <is>
          <t>2025-11</t>
        </is>
      </c>
      <c r="H153" s="16" t="inlineStr">
        <is>
          <t>实际</t>
        </is>
      </c>
      <c r="I153" s="16" t="inlineStr">
        <is>
          <t>72.6%</t>
        </is>
      </c>
      <c r="J153" s="16" t="inlineStr"/>
      <c r="K153" s="16" t="inlineStr">
        <is>
          <t>只统计前三季度</t>
        </is>
      </c>
      <c r="L153" s="16" t="inlineStr">
        <is>
          <t>同 D-60</t>
        </is>
      </c>
      <c r="M153" s="16" t="inlineStr">
        <is>
          <t>中</t>
        </is>
      </c>
    </row>
    <row r="154">
      <c r="A154" s="16" t="inlineStr">
        <is>
          <t>D-67</t>
        </is>
      </c>
      <c r="B154" s="16" t="inlineStr">
        <is>
          <t>需求与价格</t>
        </is>
      </c>
      <c r="C154" s="16" t="inlineStr"/>
      <c r="D154" s="16" t="inlineStr">
        <is>
          <t>MIR 2025 年格局（全行业）</t>
        </is>
      </c>
      <c r="E154" s="16" t="inlineStr">
        <is>
          <t>坤维科技以 42.4% 份额领先（《2026中国六维力传感器行业白皮书》）</t>
        </is>
      </c>
      <c r="F154" s="16" t="inlineStr">
        <is>
          <t>MIR 睿工业</t>
        </is>
      </c>
      <c r="G154" s="16" t="inlineStr">
        <is>
          <t>2026-04-23</t>
        </is>
      </c>
      <c r="H154" s="16" t="inlineStr">
        <is>
          <t>实际</t>
        </is>
      </c>
      <c r="I154" s="16" t="inlineStr">
        <is>
          <t>坤维 42.4%</t>
        </is>
      </c>
      <c r="J154" s="16" t="inlineStr"/>
      <c r="K154" s="16" t="inlineStr">
        <is>
          <t>全行业口径（含协作和工业），与赛迪人形口径不可比</t>
        </is>
      </c>
      <c r="L154" s="16" t="inlineStr">
        <is>
          <t>http://www.rmzxw.com.cn/c/2026-04-28/3908097.shtml</t>
        </is>
      </c>
      <c r="M154" s="16" t="inlineStr">
        <is>
          <t>中</t>
        </is>
      </c>
    </row>
    <row r="155">
      <c r="A155" s="16" t="inlineStr">
        <is>
          <t>D-68</t>
        </is>
      </c>
      <c r="B155" s="16" t="inlineStr">
        <is>
          <t>需求与价格</t>
        </is>
      </c>
      <c r="C155" s="16" t="inlineStr"/>
      <c r="D155" s="16" t="inlineStr">
        <is>
          <t>MIR 2024 年中国全行业</t>
        </is>
      </c>
      <c r="E155" s="16" t="inlineStr">
        <is>
          <t>整体出货突破 1.4 万台，协作机器人占 45% 以上；人形"多处于研发测试阶段"</t>
        </is>
      </c>
      <c r="F155" s="16" t="inlineStr">
        <is>
          <t>MIR《2025年中国六维力传感器市场报告》</t>
        </is>
      </c>
      <c r="G155" s="16" t="inlineStr">
        <is>
          <t>2025</t>
        </is>
      </c>
      <c r="H155" s="16" t="inlineStr">
        <is>
          <t>实际</t>
        </is>
      </c>
      <c r="I155" s="16" t="inlineStr">
        <is>
          <t>1.4 万台</t>
        </is>
      </c>
      <c r="J155" s="16" t="inlineStr"/>
      <c r="K155" s="16" t="inlineStr">
        <is>
          <t>全行业</t>
        </is>
      </c>
      <c r="L155" s="16" t="inlineStr">
        <is>
          <t>搜索摘要（MIR 官网）</t>
        </is>
      </c>
      <c r="M155" s="16" t="inlineStr">
        <is>
          <t>中-</t>
        </is>
      </c>
    </row>
    <row r="156">
      <c r="A156" s="16" t="inlineStr">
        <is>
          <t>D-69</t>
        </is>
      </c>
      <c r="B156" s="16" t="inlineStr">
        <is>
          <t>需求与价格</t>
        </is>
      </c>
      <c r="C156" s="16" t="inlineStr"/>
      <c r="D156" s="16" t="inlineStr">
        <is>
          <t>MIR 2024 年人形增速</t>
        </is>
      </c>
      <c r="E156" s="16" t="inlineStr">
        <is>
          <t>人形领域出货"同比大增1100%"；国产化率由 19% 升到 57.8%</t>
        </is>
      </c>
      <c r="F156" s="16" t="inlineStr">
        <is>
          <t>MIR（财联社转引）</t>
        </is>
      </c>
      <c r="G156" s="16" t="inlineStr">
        <is>
          <t>2025-07</t>
        </is>
      </c>
      <c r="H156" s="16" t="inlineStr">
        <is>
          <t>实际</t>
        </is>
      </c>
      <c r="I156" s="16" t="inlineStr">
        <is>
          <t>+1,100%</t>
        </is>
      </c>
      <c r="J156" s="16" t="inlineStr"/>
      <c r="K156" s="16" t="inlineStr">
        <is>
          <t>没有绝对值</t>
        </is>
      </c>
      <c r="L156" s="16" t="inlineStr">
        <is>
          <t>https://m.cls.cn/detail/2131477</t>
        </is>
      </c>
      <c r="M156" s="16" t="inlineStr">
        <is>
          <t>中-</t>
        </is>
      </c>
    </row>
    <row r="157">
      <c r="A157" s="16" t="inlineStr">
        <is>
          <t>D-70</t>
        </is>
      </c>
      <c r="B157" s="16" t="inlineStr">
        <is>
          <t>需求与价格</t>
        </is>
      </c>
      <c r="C157" s="16" t="inlineStr"/>
      <c r="D157" s="16" t="inlineStr">
        <is>
          <t>MIR 2030 年人形六维力</t>
        </is>
      </c>
      <c r="E157" s="16" t="inlineStr">
        <is>
          <t>中国人形领域六维力出货有望达 23 万台</t>
        </is>
      </c>
      <c r="F157" s="16" t="inlineStr">
        <is>
          <t>MIR（二手搜索摘要）</t>
        </is>
      </c>
      <c r="G157" s="16" t="inlineStr">
        <is>
          <t>未注明</t>
        </is>
      </c>
      <c r="H157" s="16" t="inlineStr">
        <is>
          <t>预测</t>
        </is>
      </c>
      <c r="I157" s="16" t="inlineStr">
        <is>
          <t>23 万台</t>
        </is>
      </c>
      <c r="J157" s="16" t="inlineStr"/>
      <c r="K157" s="16" t="inlineStr">
        <is>
          <t>原文未找到</t>
        </is>
      </c>
      <c r="L157" s="16" t="inlineStr">
        <is>
          <t>—</t>
        </is>
      </c>
      <c r="M157" s="16" t="inlineStr">
        <is>
          <t>低</t>
        </is>
      </c>
    </row>
    <row r="158">
      <c r="A158" s="16" t="inlineStr">
        <is>
          <t>D-71</t>
        </is>
      </c>
      <c r="B158" s="16" t="inlineStr">
        <is>
          <t>需求与价格</t>
        </is>
      </c>
      <c r="C158" s="16" t="inlineStr"/>
      <c r="D158" s="16" t="inlineStr">
        <is>
          <t>历史基数（GGII 2022）</t>
        </is>
      </c>
      <c r="E158" s="16" t="inlineStr">
        <is>
          <t>中国六维力 2.39 亿元、8,360 套；机器人用 1.56 亿元、4,840 套</t>
        </is>
      </c>
      <c r="F158" s="16" t="inlineStr">
        <is>
          <t>GGII（华宝转引）</t>
        </is>
      </c>
      <c r="G158" s="16" t="inlineStr">
        <is>
          <t>2022</t>
        </is>
      </c>
      <c r="H158" s="16" t="inlineStr">
        <is>
          <t>实际</t>
        </is>
      </c>
      <c r="I158" s="16" t="inlineStr">
        <is>
          <t>—</t>
        </is>
      </c>
      <c r="J158" s="16" t="inlineStr"/>
      <c r="K158" s="16" t="inlineStr">
        <is>
          <t>—</t>
        </is>
      </c>
      <c r="L158" s="16" t="inlineStr">
        <is>
          <t>华宝 p23</t>
        </is>
      </c>
      <c r="M158" s="16" t="inlineStr">
        <is>
          <t>中</t>
        </is>
      </c>
    </row>
    <row r="159">
      <c r="A159" s="16" t="inlineStr">
        <is>
          <t>D-72</t>
        </is>
      </c>
      <c r="B159" s="16" t="inlineStr">
        <is>
          <t>需求与价格</t>
        </is>
      </c>
      <c r="C159" s="16" t="inlineStr"/>
      <c r="D159" s="16" t="inlineStr">
        <is>
          <t>QYResearch（对照）</t>
        </is>
      </c>
      <c r="E159" s="16" t="inlineStr">
        <is>
          <t>全球人形六维力 2024 年 2.40 亿美元（另一版 2.95 亿美元）；全行业 2024 年全球近 6 万套、国内约 1.7 万套</t>
        </is>
      </c>
      <c r="F159" s="16" t="inlineStr">
        <is>
          <t>QYResearch（营销稿；国信引用）</t>
        </is>
      </c>
      <c r="G159" s="16" t="inlineStr">
        <is>
          <t>2025–2026</t>
        </is>
      </c>
      <c r="H159" s="16" t="inlineStr">
        <is>
          <t>实际 + 预测</t>
        </is>
      </c>
      <c r="I159" s="16" t="inlineStr">
        <is>
          <t>—</t>
        </is>
      </c>
      <c r="J159" s="16" t="inlineStr"/>
      <c r="K159" s="16" t="inlineStr">
        <is>
          <t>人形金额明显偏高（2024 年中国人形六维力不过约 2,000 颗），口径过宽</t>
        </is>
      </c>
      <c r="L159" s="16" t="inlineStr">
        <is>
          <t>https://m.gelonghui.com/p/1928250 ；国信 2025-05 p27</t>
        </is>
      </c>
      <c r="M159" s="16" t="inlineStr">
        <is>
          <t>低</t>
        </is>
      </c>
    </row>
    <row r="160">
      <c r="A160" s="16" t="inlineStr">
        <is>
          <t>D-73</t>
        </is>
      </c>
      <c r="B160" s="16" t="inlineStr">
        <is>
          <t>需求与价格</t>
        </is>
      </c>
      <c r="C160" s="16" t="inlineStr"/>
      <c r="D160" s="16" t="inlineStr">
        <is>
          <t>中金力传感器空间（对照）</t>
        </is>
      </c>
      <c r="E160" s="16" t="inlineStr">
        <is>
          <t>按 2030 年 35 万台人形测算，力传感器（一维、三维、六维合计）79 亿元</t>
        </is>
      </c>
      <c r="F160" s="16" t="inlineStr">
        <is>
          <t>中金</t>
        </is>
      </c>
      <c r="G160" s="16" t="inlineStr">
        <is>
          <t>2025-06-24</t>
        </is>
      </c>
      <c r="H160" s="16" t="inlineStr">
        <is>
          <t>预测</t>
        </is>
      </c>
      <c r="I160" s="16" t="inlineStr">
        <is>
          <t>79 亿元</t>
        </is>
      </c>
      <c r="J160" s="16" t="inlineStr"/>
      <c r="K160" s="16" t="inlineStr">
        <is>
          <t>未单拆六维力</t>
        </is>
      </c>
      <c r="L160" s="16" t="inlineStr">
        <is>
          <t>同 D-23</t>
        </is>
      </c>
      <c r="M160" s="16" t="inlineStr">
        <is>
          <t>中</t>
        </is>
      </c>
    </row>
    <row r="161">
      <c r="A161" s="16" t="inlineStr">
        <is>
          <t>D-74</t>
        </is>
      </c>
      <c r="B161" s="16" t="inlineStr">
        <is>
          <t>需求与价格</t>
        </is>
      </c>
      <c r="C161" s="16" t="inlineStr"/>
      <c r="D161" s="16" t="inlineStr">
        <is>
          <t>2025 年中国出货（GGII）</t>
        </is>
      </c>
      <c r="E161" s="16" t="inlineStr">
        <is>
          <t>2024 年约 2,400 台，2025 年约 1.8 万台（+650%），只计已交付、已验收</t>
        </is>
      </c>
      <c r="F161" s="16" t="inlineStr">
        <is>
          <t>GGII</t>
        </is>
      </c>
      <c r="G161" s="16" t="inlineStr">
        <is>
          <t>2026-01</t>
        </is>
      </c>
      <c r="H161" s="16" t="inlineStr">
        <is>
          <t>实际</t>
        </is>
      </c>
      <c r="I161" s="16" t="inlineStr">
        <is>
          <t>1.8 万台</t>
        </is>
      </c>
      <c r="J161" s="16" t="inlineStr">
        <is>
          <t>假设：2025 中国人形整机出货（实际）</t>
        </is>
      </c>
      <c r="K161" s="16" t="inlineStr">
        <is>
          <t>—</t>
        </is>
      </c>
      <c r="L161" s="16" t="inlineStr">
        <is>
          <t>https://www.sohu.com/a/972343345_115831</t>
        </is>
      </c>
      <c r="M161" s="16" t="inlineStr">
        <is>
          <t>中高</t>
        </is>
      </c>
    </row>
    <row r="162">
      <c r="A162" s="16" t="inlineStr">
        <is>
          <t>D-75</t>
        </is>
      </c>
      <c r="B162" s="16" t="inlineStr">
        <is>
          <t>需求与价格</t>
        </is>
      </c>
      <c r="C162" s="16" t="inlineStr"/>
      <c r="D162" s="16" t="inlineStr">
        <is>
          <t>2025 年中国出货（赛迪）</t>
        </is>
      </c>
      <c r="E162" s="16" t="inlineStr">
        <is>
          <t>中国人形机器人出货 1.44 万台</t>
        </is>
      </c>
      <c r="F162" s="16" t="inlineStr">
        <is>
          <t>赛迪 × 中国电子报</t>
        </is>
      </c>
      <c r="G162" s="16" t="inlineStr">
        <is>
          <t>2026-08-31</t>
        </is>
      </c>
      <c r="H162" s="16" t="inlineStr">
        <is>
          <t>实际</t>
        </is>
      </c>
      <c r="I162" s="16" t="inlineStr">
        <is>
          <t>1.44 万台</t>
        </is>
      </c>
      <c r="J162" s="16" t="inlineStr"/>
      <c r="K162" s="16" t="inlineStr">
        <is>
          <t>只见于解读稿</t>
        </is>
      </c>
      <c r="L162" s="16" t="inlineStr">
        <is>
          <t>https://mtz.china.com/touzi/2026/0831/263958.html</t>
        </is>
      </c>
      <c r="M162" s="16" t="inlineStr">
        <is>
          <t>中-</t>
        </is>
      </c>
    </row>
    <row r="163">
      <c r="A163" s="16" t="inlineStr">
        <is>
          <t>D-76</t>
        </is>
      </c>
      <c r="B163" s="16" t="inlineStr">
        <is>
          <t>需求与价格</t>
        </is>
      </c>
      <c r="C163" s="16" t="inlineStr"/>
      <c r="D163" s="16" t="inlineStr">
        <is>
          <t>2025 年中国对外销售（摩根士丹利）</t>
        </is>
      </c>
      <c r="E163" s="16" t="inlineStr">
        <is>
          <t>约 1.2 万台，不含原型机和自用</t>
        </is>
      </c>
      <c r="F163" s="16" t="inlineStr">
        <is>
          <t>摩根士丹利</t>
        </is>
      </c>
      <c r="G163" s="16" t="inlineStr">
        <is>
          <t>2026</t>
        </is>
      </c>
      <c r="H163" s="16" t="inlineStr">
        <is>
          <t>实际（估算）</t>
        </is>
      </c>
      <c r="I163" s="16" t="inlineStr">
        <is>
          <t>1.2 万台</t>
        </is>
      </c>
      <c r="J163" s="16" t="inlineStr"/>
      <c r="K163" s="16" t="inlineStr">
        <is>
          <t>二手</t>
        </is>
      </c>
      <c r="L163" s="16" t="inlineStr">
        <is>
          <t>https://cryptobriefing.com/morgan-stanley-china-humanoid-robot-forecast/</t>
        </is>
      </c>
      <c r="M163" s="16" t="inlineStr">
        <is>
          <t>中</t>
        </is>
      </c>
    </row>
    <row r="164">
      <c r="A164" s="16" t="inlineStr">
        <is>
          <t>D-77</t>
        </is>
      </c>
      <c r="B164" s="16" t="inlineStr">
        <is>
          <t>需求与价格</t>
        </is>
      </c>
      <c r="C164" s="16" t="inlineStr"/>
      <c r="D164" s="16" t="inlineStr">
        <is>
          <t>2025 年中国产量（MIR）</t>
        </is>
      </c>
      <c r="E164" s="16" t="inlineStr">
        <is>
          <t>整机产量突破 1.8 万台，产量和销量都首次超过万台</t>
        </is>
      </c>
      <c r="F164" s="16" t="inlineStr">
        <is>
          <t>MIR 睿工业</t>
        </is>
      </c>
      <c r="G164" s="16" t="inlineStr">
        <is>
          <t>2026</t>
        </is>
      </c>
      <c r="H164" s="16" t="inlineStr">
        <is>
          <t>实际</t>
        </is>
      </c>
      <c r="I164" s="16" t="inlineStr">
        <is>
          <t>&gt;1.8 万台（产量）</t>
        </is>
      </c>
      <c r="J164" s="16" t="inlineStr"/>
      <c r="K164" s="16" t="inlineStr">
        <is>
          <t>二手</t>
        </is>
      </c>
      <c r="L164" s="16" t="inlineStr">
        <is>
          <t>https://www.eefocus.com/article/1981263.html</t>
        </is>
      </c>
      <c r="M164" s="16" t="inlineStr">
        <is>
          <t>中</t>
        </is>
      </c>
    </row>
    <row r="165">
      <c r="A165" s="16" t="inlineStr">
        <is>
          <t>D-78</t>
        </is>
      </c>
      <c r="B165" s="16" t="inlineStr">
        <is>
          <t>需求与价格</t>
        </is>
      </c>
      <c r="C165" s="16" t="inlineStr"/>
      <c r="D165" s="16" t="inlineStr">
        <is>
          <t>2026H1 中国出货（IDC）</t>
        </is>
      </c>
      <c r="E165" s="16" t="inlineStr">
        <is>
          <t>中国出货超过 1.9 万台（+426%），约占全球 77.9%</t>
        </is>
      </c>
      <c r="F165" s="16" t="inlineStr">
        <is>
          <t>IDC</t>
        </is>
      </c>
      <c r="G165" s="16" t="inlineStr">
        <is>
          <t>2026-09-29</t>
        </is>
      </c>
      <c r="H165" s="16" t="inlineStr">
        <is>
          <t>实际</t>
        </is>
      </c>
      <c r="I165" s="16" t="inlineStr">
        <is>
          <t>1.9 万台</t>
        </is>
      </c>
      <c r="J165" s="16" t="inlineStr">
        <is>
          <t>假设：2026E 中国人形整机出货</t>
        </is>
      </c>
      <c r="K165" s="16" t="inlineStr">
        <is>
          <t>—</t>
        </is>
      </c>
      <c r="L165" s="16" t="inlineStr">
        <is>
          <t>https://finance.sina.com.cn/tech/roll/2026-09-29/doc-initnsef2868975.shtml</t>
        </is>
      </c>
      <c r="M165" s="16" t="inlineStr">
        <is>
          <t>中高</t>
        </is>
      </c>
    </row>
    <row r="166">
      <c r="A166" s="16" t="inlineStr">
        <is>
          <t>D-79</t>
        </is>
      </c>
      <c r="B166" s="16" t="inlineStr">
        <is>
          <t>需求与价格</t>
        </is>
      </c>
      <c r="C166" s="16" t="inlineStr"/>
      <c r="D166" s="16" t="inlineStr">
        <is>
          <t>2026H1 中国产量与出货（MIR）</t>
        </is>
      </c>
      <c r="E166" s="16" t="inlineStr">
        <is>
          <t>产量接近 2.5 万台（+312%），出货接近 2 万台；不含 1 米以下和消费级</t>
        </is>
      </c>
      <c r="F166" s="16" t="inlineStr">
        <is>
          <t>MIR 睿工业</t>
        </is>
      </c>
      <c r="G166" s="16" t="inlineStr">
        <is>
          <t>2026</t>
        </is>
      </c>
      <c r="H166" s="16" t="inlineStr">
        <is>
          <t>实际</t>
        </is>
      </c>
      <c r="I166" s="16" t="inlineStr">
        <is>
          <t>产量 2.5 万 / 出货 2 万</t>
        </is>
      </c>
      <c r="J166" s="16" t="inlineStr"/>
      <c r="K166" s="16" t="inlineStr">
        <is>
          <t>二手</t>
        </is>
      </c>
      <c r="L166" s="16" t="inlineStr">
        <is>
          <t>https://www.163.com/dy/article/L42NIN9V0552L07S.html</t>
        </is>
      </c>
      <c r="M166" s="16" t="inlineStr">
        <is>
          <t>中</t>
        </is>
      </c>
    </row>
    <row r="167">
      <c r="A167" s="16" t="inlineStr">
        <is>
          <t>D-80</t>
        </is>
      </c>
      <c r="B167" s="16" t="inlineStr">
        <is>
          <t>需求与价格</t>
        </is>
      </c>
      <c r="C167" s="16" t="inlineStr"/>
      <c r="D167" s="16" t="inlineStr">
        <is>
          <t>2026 年中国预测</t>
        </is>
      </c>
      <c r="E167" s="16" t="inlineStr">
        <is>
          <t>GGII 出货 6.25 万台；MIR 产量 5.5 万 / 出货 4.8 万；摩根士丹利对外销售 5 万；工信部、CNNIC、TrendForce 产量 &gt;10 万台</t>
        </is>
      </c>
      <c r="F167" s="16" t="inlineStr">
        <is>
          <t>各机构</t>
        </is>
      </c>
      <c r="G167" s="16" t="inlineStr">
        <is>
          <t>2026-01 至 2026-09</t>
        </is>
      </c>
      <c r="H167" s="16" t="inlineStr">
        <is>
          <t>预测</t>
        </is>
      </c>
      <c r="I167" s="16" t="inlineStr">
        <is>
          <t>出货 4.8–6.25 万；产量 10 万+</t>
        </is>
      </c>
      <c r="J167" s="16" t="inlineStr">
        <is>
          <t>假设：2026E 中国人形整机出货</t>
        </is>
      </c>
      <c r="K167" s="16" t="inlineStr">
        <is>
          <t>产量和出货口径混在一起</t>
        </is>
      </c>
      <c r="L167" s="16" t="inlineStr">
        <is>
          <t>见 research_ch1_2.md 第 124–134 行</t>
        </is>
      </c>
      <c r="M167" s="16" t="inlineStr">
        <is>
          <t>中–高</t>
        </is>
      </c>
    </row>
    <row r="168">
      <c r="A168" s="16" t="inlineStr">
        <is>
          <t>D-81</t>
        </is>
      </c>
      <c r="B168" s="16" t="inlineStr">
        <is>
          <t>需求与价格</t>
        </is>
      </c>
      <c r="C168" s="16" t="inlineStr"/>
      <c r="D168" s="16" t="inlineStr">
        <is>
          <t>2030 年中国预测</t>
        </is>
      </c>
      <c r="E168" s="16" t="inlineStr">
        <is>
          <t>摩根士丹利出货 44.6 万台（2025–2030 年 CAGR 106%）；赛迪销量 40 万台</t>
        </is>
      </c>
      <c r="F168" s="16" t="inlineStr">
        <is>
          <t>摩根士丹利；赛迪</t>
        </is>
      </c>
      <c r="G168" s="16" t="inlineStr">
        <is>
          <t>2026-06 / 2026-08</t>
        </is>
      </c>
      <c r="H168" s="16" t="inlineStr">
        <is>
          <t>预测</t>
        </is>
      </c>
      <c r="I168" s="16" t="inlineStr">
        <is>
          <t>40–44.6 万台</t>
        </is>
      </c>
      <c r="J168" s="16" t="inlineStr">
        <is>
          <t>假设：2030E 中国人形整机出货</t>
        </is>
      </c>
      <c r="K168" s="16" t="inlineStr">
        <is>
          <t>摩根士丹利为二手；赛迪只见于解读稿</t>
        </is>
      </c>
      <c r="L168" s="16" t="inlineStr">
        <is>
          <t>research_ch1_2.md 第 142 行；D-64</t>
        </is>
      </c>
      <c r="M168" s="16" t="inlineStr">
        <is>
          <t>中</t>
        </is>
      </c>
    </row>
    <row r="169">
      <c r="A169" s="16" t="inlineStr">
        <is>
          <t>D-82</t>
        </is>
      </c>
      <c r="B169" s="16" t="inlineStr">
        <is>
          <t>需求与价格</t>
        </is>
      </c>
      <c r="C169" s="16" t="inlineStr"/>
      <c r="D169" s="16" t="inlineStr">
        <is>
          <t>2035 年中国（远期参考）</t>
        </is>
      </c>
      <c r="E169" s="16" t="inlineStr">
        <is>
          <t>GGII（2025-04 版）：2035 年中国销量约 200 万台</t>
        </is>
      </c>
      <c r="F169" s="16" t="inlineStr">
        <is>
          <t>GGII</t>
        </is>
      </c>
      <c r="G169" s="16" t="inlineStr">
        <is>
          <t>2025-04</t>
        </is>
      </c>
      <c r="H169" s="16" t="inlineStr">
        <is>
          <t>预测（旧版）</t>
        </is>
      </c>
      <c r="I169" s="16" t="inlineStr">
        <is>
          <t>200 万台</t>
        </is>
      </c>
      <c r="J169" s="16" t="inlineStr"/>
      <c r="K169" s="16" t="inlineStr">
        <is>
          <t>旧版</t>
        </is>
      </c>
      <c r="L169" s="16" t="inlineStr">
        <is>
          <t>research_ch1_2.md 第 161 行</t>
        </is>
      </c>
      <c r="M169" s="16" t="inlineStr">
        <is>
          <t>中</t>
        </is>
      </c>
    </row>
    <row r="170">
      <c r="A170" s="16" t="inlineStr">
        <is>
          <t>R-01</t>
        </is>
      </c>
      <c r="B170" s="16" t="inlineStr">
        <is>
          <t>ROI</t>
        </is>
      </c>
      <c r="C170" s="16" t="inlineStr"/>
      <c r="D170" s="16" t="inlineStr">
        <is>
          <t>优必选全尺寸人形单价（2026年上半年）</t>
        </is>
      </c>
      <c r="E170" s="16" t="inlineStr">
        <is>
          <t>收入5.9亿元，销量921台</t>
        </is>
      </c>
      <c r="F170" s="16" t="inlineStr">
        <is>
          <t>优必选中期报告</t>
        </is>
      </c>
      <c r="G170" s="16" t="inlineStr">
        <is>
          <t>2026-08</t>
        </is>
      </c>
      <c r="H170" s="16" t="inlineStr">
        <is>
          <t>实际（推算）</t>
        </is>
      </c>
      <c r="I170" s="16" t="inlineStr">
        <is>
          <t>约64万元/台</t>
        </is>
      </c>
      <c r="J170" s="16" t="inlineStr">
        <is>
          <t>假设：初始投入（整机 + 部署集成）</t>
        </is>
      </c>
      <c r="K170" s="16" t="inlineStr">
        <is>
          <t>收入÷台数，含各型号与方案收入</t>
        </is>
      </c>
      <c r="L170" s="16" t="inlineStr">
        <is>
          <t>https://finance.sina.com.cn/wm/2026-08-28/doc-inipwtfm8988149.shtml</t>
        </is>
      </c>
      <c r="M170" s="16" t="inlineStr">
        <is>
          <t>高</t>
        </is>
      </c>
    </row>
    <row r="171">
      <c r="A171" s="16" t="inlineStr">
        <is>
          <t>R-02</t>
        </is>
      </c>
      <c r="B171" s="16" t="inlineStr">
        <is>
          <t>ROI</t>
        </is>
      </c>
      <c r="C171" s="16" t="inlineStr"/>
      <c r="D171" s="16" t="inlineStr">
        <is>
          <t>优必选全尺寸人形单价（2025年）</t>
        </is>
      </c>
      <c r="E171" s="16" t="inlineStr">
        <is>
          <t>收入8.21亿元，销量1079台</t>
        </is>
      </c>
      <c r="F171" s="16" t="inlineStr">
        <is>
          <t>优必选年报（万联转引）</t>
        </is>
      </c>
      <c r="G171" s="16" t="inlineStr">
        <is>
          <t>2025</t>
        </is>
      </c>
      <c r="H171" s="16" t="inlineStr">
        <is>
          <t>实际（推算）</t>
        </is>
      </c>
      <c r="I171" s="16" t="inlineStr">
        <is>
          <t>约76万元/台</t>
        </is>
      </c>
      <c r="J171" s="16" t="inlineStr"/>
      <c r="K171" s="16" t="inlineStr">
        <is>
          <t>同上</t>
        </is>
      </c>
      <c r="L171" s="16" t="inlineStr">
        <is>
          <t>https://pdf.dfcfw.com/pdf/H3_AP202607081826811776_1.pdf</t>
        </is>
      </c>
      <c r="M171" s="16" t="inlineStr">
        <is>
          <t>高</t>
        </is>
      </c>
    </row>
    <row r="172">
      <c r="A172" s="16" t="inlineStr">
        <is>
          <t>R-03</t>
        </is>
      </c>
      <c r="B172" s="16" t="inlineStr">
        <is>
          <t>ROI</t>
        </is>
      </c>
      <c r="C172" s="16" t="inlineStr"/>
      <c r="D172" s="16" t="inlineStr">
        <is>
          <t>优必选整体方案价</t>
        </is>
      </c>
      <c r="E172" s="16" t="inlineStr">
        <is>
          <t>含软件和交付的整套方案可控制在50万元以内</t>
        </is>
      </c>
      <c r="F172" s="16" t="inlineStr">
        <is>
          <t>优必选副总裁焦继超</t>
        </is>
      </c>
      <c r="G172" s="16" t="inlineStr">
        <is>
          <t>2026-08</t>
        </is>
      </c>
      <c r="H172" s="16" t="inlineStr">
        <is>
          <t>计划/管理层口径</t>
        </is>
      </c>
      <c r="I172" s="16" t="inlineStr">
        <is>
          <t>≤50万元</t>
        </is>
      </c>
      <c r="J172" s="16" t="inlineStr">
        <is>
          <t>假设：初始投入（整机 + 部署集成）</t>
        </is>
      </c>
      <c r="K172" s="16" t="inlineStr">
        <is>
          <t>未说明服务年限</t>
        </is>
      </c>
      <c r="L172" s="16" t="inlineStr">
        <is>
          <t>https://finance.sina.com.cn/jjxw/2026-09-22/doc-inisspzi5669682.shtml</t>
        </is>
      </c>
      <c r="M172" s="16" t="inlineStr">
        <is>
          <t>中</t>
        </is>
      </c>
    </row>
    <row r="173">
      <c r="A173" s="16" t="inlineStr">
        <is>
          <t>R-04</t>
        </is>
      </c>
      <c r="B173" s="16" t="inlineStr">
        <is>
          <t>ROI</t>
        </is>
      </c>
      <c r="C173" s="16" t="inlineStr"/>
      <c r="D173" s="16" t="inlineStr">
        <is>
          <t>Walker S2 BOM 与均价</t>
        </is>
      </c>
      <c r="E173" s="16" t="inlineStr">
        <is>
          <t>BOM从约35万元降至约18万元；均价降至约60万元</t>
        </is>
      </c>
      <c r="F173" s="16" t="inlineStr">
        <is>
          <t>大和证券（新浪转引）</t>
        </is>
      </c>
      <c r="G173" s="16" t="inlineStr">
        <is>
          <t>2026-09</t>
        </is>
      </c>
      <c r="H173" s="16" t="inlineStr">
        <is>
          <t>测算</t>
        </is>
      </c>
      <c r="I173" s="16" t="inlineStr">
        <is>
          <t>BOM约18万元，均价约60万元</t>
        </is>
      </c>
      <c r="J173" s="16" t="inlineStr"/>
      <c r="K173" s="16" t="inlineStr">
        <is>
          <t>二手转述</t>
        </is>
      </c>
      <c r="L173" s="16" t="inlineStr">
        <is>
          <t>同上</t>
        </is>
      </c>
      <c r="M173" s="16" t="inlineStr">
        <is>
          <t>中</t>
        </is>
      </c>
    </row>
    <row r="174">
      <c r="A174" s="16" t="inlineStr">
        <is>
          <t>R-05</t>
        </is>
      </c>
      <c r="B174" s="16" t="inlineStr">
        <is>
          <t>ROI</t>
        </is>
      </c>
      <c r="C174" s="16" t="inlineStr"/>
      <c r="D174" s="16" t="inlineStr">
        <is>
          <t>车企侧入厂成本</t>
        </is>
      </c>
      <c r="E174" s="16" t="inlineStr">
        <is>
          <t>一台人形机器人入厂成本要六七十万</t>
        </is>
      </c>
      <c r="F174" s="16" t="inlineStr">
        <is>
          <t>东风柳汽相关负责人（经观）</t>
        </is>
      </c>
      <c r="G174" s="16" t="inlineStr">
        <is>
          <t>2026-08-12</t>
        </is>
      </c>
      <c r="H174" s="16" t="inlineStr">
        <is>
          <t>实际（受访口径）</t>
        </is>
      </c>
      <c r="I174" s="16" t="inlineStr">
        <is>
          <t>60–70万元</t>
        </is>
      </c>
      <c r="J174" s="16" t="inlineStr">
        <is>
          <t>假设：初始投入（整机 + 部署集成）</t>
        </is>
      </c>
      <c r="K174" s="16" t="inlineStr">
        <is>
          <t>未拆分本体与集成费用</t>
        </is>
      </c>
      <c r="L174" s="16" t="inlineStr">
        <is>
          <t>https://www.huxiu.com/article/4882514.html</t>
        </is>
      </c>
      <c r="M174" s="16" t="inlineStr">
        <is>
          <t>中</t>
        </is>
      </c>
    </row>
    <row r="175">
      <c r="A175" s="16" t="inlineStr">
        <is>
          <t>R-06</t>
        </is>
      </c>
      <c r="B175" s="16" t="inlineStr">
        <is>
          <t>ROI</t>
        </is>
      </c>
      <c r="C175" s="16" t="inlineStr"/>
      <c r="D175" s="16" t="inlineStr">
        <is>
          <t>车企可接受价位</t>
        </is>
      </c>
      <c r="E175" s="16" t="inlineStr">
        <is>
          <t>需要降到25万左右才具备可替代性</t>
        </is>
      </c>
      <c r="F175" s="16" t="inlineStr">
        <is>
          <t>东风柳汽相关负责人</t>
        </is>
      </c>
      <c r="G175" s="16" t="inlineStr">
        <is>
          <t>2026-08-12</t>
        </is>
      </c>
      <c r="H175" s="16" t="inlineStr">
        <is>
          <t>计划/期望</t>
        </is>
      </c>
      <c r="I175" s="16" t="inlineStr">
        <is>
          <t>约25万元</t>
        </is>
      </c>
      <c r="J175" s="16" t="inlineStr"/>
      <c r="K175" s="16" t="inlineStr">
        <is>
          <t>同上</t>
        </is>
      </c>
      <c r="L175" s="16" t="inlineStr">
        <is>
          <t>同上</t>
        </is>
      </c>
      <c r="M175" s="16" t="inlineStr">
        <is>
          <t>中</t>
        </is>
      </c>
    </row>
    <row r="176">
      <c r="A176" s="16" t="inlineStr">
        <is>
          <t>R-07</t>
        </is>
      </c>
      <c r="B176" s="16" t="inlineStr">
        <is>
          <t>ROI</t>
        </is>
      </c>
      <c r="C176" s="16" t="inlineStr"/>
      <c r="D176" s="16" t="inlineStr">
        <is>
          <t>进厂总拥有成本</t>
        </is>
      </c>
      <c r="E176" s="16" t="inlineStr">
        <is>
          <t>单台成本降到10万元左右，进厂实际总成本可能接近50万–60万元</t>
        </is>
      </c>
      <c r="F176" s="16" t="inlineStr">
        <is>
          <t>钛媒体</t>
        </is>
      </c>
      <c r="G176" s="16" t="inlineStr">
        <is>
          <t>2026-06-05</t>
        </is>
      </c>
      <c r="H176" s="16" t="inlineStr">
        <is>
          <t>测算</t>
        </is>
      </c>
      <c r="I176" s="16" t="inlineStr">
        <is>
          <t>50–60万元</t>
        </is>
      </c>
      <c r="J176" s="16" t="inlineStr">
        <is>
          <t>假设：初始投入（整机 + 部署集成）</t>
        </is>
      </c>
      <c r="K176" s="16" t="inlineStr">
        <is>
          <t>未给拆分</t>
        </is>
      </c>
      <c r="L176" s="16" t="inlineStr">
        <is>
          <t>https://finance.sina.cn/stock/jdts/2026-06-05/detail-iniaikax1839321.d.html</t>
        </is>
      </c>
      <c r="M176" s="16" t="inlineStr">
        <is>
          <t>中</t>
        </is>
      </c>
    </row>
    <row r="177">
      <c r="A177" s="16" t="inlineStr">
        <is>
          <t>R-08</t>
        </is>
      </c>
      <c r="B177" s="16" t="inlineStr">
        <is>
          <t>ROI</t>
        </is>
      </c>
      <c r="C177" s="16" t="inlineStr"/>
      <c r="D177" s="16" t="inlineStr">
        <is>
          <t>部署调试投入</t>
        </is>
      </c>
      <c r="E177" s="16" t="inlineStr">
        <is>
          <t>需要机器人公司工程师驻场两周</t>
        </is>
      </c>
      <c r="F177" s="16" t="inlineStr">
        <is>
          <t>钛媒体</t>
        </is>
      </c>
      <c r="G177" s="16" t="inlineStr">
        <is>
          <t>2026-06-05</t>
        </is>
      </c>
      <c r="H177" s="16" t="inlineStr">
        <is>
          <t>实际（案例）</t>
        </is>
      </c>
      <c r="I177" s="16" t="inlineStr">
        <is>
          <t>驻场约2周</t>
        </is>
      </c>
      <c r="J177" s="16" t="inlineStr"/>
      <c r="K177" s="16" t="inlineStr">
        <is>
          <t>未给金额</t>
        </is>
      </c>
      <c r="L177" s="16" t="inlineStr">
        <is>
          <t>同上</t>
        </is>
      </c>
      <c r="M177" s="16" t="inlineStr">
        <is>
          <t>中</t>
        </is>
      </c>
    </row>
    <row r="178">
      <c r="A178" s="16" t="inlineStr">
        <is>
          <t>R-09</t>
        </is>
      </c>
      <c r="B178" s="16" t="inlineStr">
        <is>
          <t>ROI</t>
        </is>
      </c>
      <c r="C178" s="16" t="inlineStr"/>
      <c r="D178" s="16" t="inlineStr">
        <is>
          <t>工业人形售价区间</t>
        </is>
      </c>
      <c r="E178" s="16" t="inlineStr">
        <is>
          <t>工业人形机器人售价多在30万到50万元区间</t>
        </is>
      </c>
      <c r="F178" s="16" t="inlineStr">
        <is>
          <t>行业测算（什么值得买）</t>
        </is>
      </c>
      <c r="G178" s="16" t="inlineStr">
        <is>
          <t>2026-10-19</t>
        </is>
      </c>
      <c r="H178" s="16" t="inlineStr">
        <is>
          <t>测算</t>
        </is>
      </c>
      <c r="I178" s="16" t="inlineStr">
        <is>
          <t>30–50万元</t>
        </is>
      </c>
      <c r="J178" s="16" t="inlineStr"/>
      <c r="K178" s="16" t="inlineStr">
        <is>
          <t>自媒体</t>
        </is>
      </c>
      <c r="L178" s="16" t="inlineStr">
        <is>
          <t>https://post.smzdm.com/p/ad7mz8zp/</t>
        </is>
      </c>
      <c r="M178" s="16" t="inlineStr">
        <is>
          <t>低</t>
        </is>
      </c>
    </row>
    <row r="179">
      <c r="A179" s="16" t="inlineStr">
        <is>
          <t>R-10</t>
        </is>
      </c>
      <c r="B179" s="16" t="inlineStr">
        <is>
          <t>ROI</t>
        </is>
      </c>
      <c r="C179" s="16" t="inlineStr"/>
      <c r="D179" s="16" t="inlineStr">
        <is>
          <t>宇树 H2 售价</t>
        </is>
      </c>
      <c r="E179" s="16" t="inlineStr">
        <is>
          <t>对比表：H2，2025年10月发布，19.90万元</t>
        </is>
      </c>
      <c r="F179" s="16" t="inlineStr">
        <is>
          <t>宇树科创板问询回复</t>
        </is>
      </c>
      <c r="G179" s="16" t="inlineStr">
        <is>
          <t>2026-03</t>
        </is>
      </c>
      <c r="H179" s="16" t="inlineStr">
        <is>
          <t>实际（标价）</t>
        </is>
      </c>
      <c r="I179" s="16" t="inlineStr">
        <is>
          <t>19.9万元</t>
        </is>
      </c>
      <c r="J179" s="16" t="inlineStr">
        <is>
          <t>假设：初始投入（整机 + 部署集成）</t>
        </is>
      </c>
      <c r="K179" s="16" t="inlineStr">
        <is>
          <t>汽车厂搬运能力未经验证</t>
        </is>
      </c>
      <c r="L179" s="16" t="inlineStr">
        <is>
          <t>https://static.sse.com.cn/stock/disclosure/announcement/c/202603/002178_20260320_OE27.pdf</t>
        </is>
      </c>
      <c r="M179" s="16" t="inlineStr">
        <is>
          <t>高</t>
        </is>
      </c>
    </row>
    <row r="180">
      <c r="A180" s="16" t="inlineStr">
        <is>
          <t>R-11</t>
        </is>
      </c>
      <c r="B180" s="16" t="inlineStr">
        <is>
          <t>ROI</t>
        </is>
      </c>
      <c r="C180" s="16" t="inlineStr"/>
      <c r="D180" s="16" t="inlineStr">
        <is>
          <t>智元远征 A2 售价</t>
        </is>
      </c>
      <c r="E180" s="16" t="inlineStr">
        <is>
          <t>系列售价16.8万元起；旗舰版62万元</t>
        </is>
      </c>
      <c r="F180" s="16" t="inlineStr">
        <is>
          <t>智元官网、上观</t>
        </is>
      </c>
      <c r="G180" s="16" t="inlineStr">
        <is>
          <t>2025-08</t>
        </is>
      </c>
      <c r="H180" s="16" t="inlineStr">
        <is>
          <t>实际（标价）</t>
        </is>
      </c>
      <c r="I180" s="16" t="inlineStr">
        <is>
          <t>16.8–62万元</t>
        </is>
      </c>
      <c r="J180" s="16" t="inlineStr"/>
      <c r="K180" s="16" t="inlineStr">
        <is>
          <t>版本间价差大</t>
        </is>
      </c>
      <c r="L180" s="16" t="inlineStr">
        <is>
          <t>https://finance.sina.com.cn/tech/roll/2025-08-18/doc-infmmmiy1961486.shtml</t>
        </is>
      </c>
      <c r="M180" s="16" t="inlineStr">
        <is>
          <t>中高</t>
        </is>
      </c>
    </row>
    <row r="181">
      <c r="A181" s="16" t="inlineStr">
        <is>
          <t>R-12</t>
        </is>
      </c>
      <c r="B181" s="16" t="inlineStr">
        <is>
          <t>ROI</t>
        </is>
      </c>
      <c r="C181" s="16" t="inlineStr"/>
      <c r="D181" s="16" t="inlineStr">
        <is>
          <t>智元精灵 G2 售价</t>
        </is>
      </c>
      <c r="E181" s="16" t="inlineStr">
        <is>
          <t>官方未公开；行业推测50万–80万元</t>
        </is>
      </c>
      <c r="F181" s="16" t="inlineStr">
        <is>
          <t>自媒体推测</t>
        </is>
      </c>
      <c r="G181" s="16" t="inlineStr">
        <is>
          <t>2026-08</t>
        </is>
      </c>
      <c r="H181" s="16" t="inlineStr">
        <is>
          <t>测算</t>
        </is>
      </c>
      <c r="I181" s="16" t="inlineStr">
        <is>
          <t>官方价未找到</t>
        </is>
      </c>
      <c r="J181" s="16" t="inlineStr"/>
      <c r="K181" s="16" t="inlineStr">
        <is>
          <t>—</t>
        </is>
      </c>
      <c r="L181" s="16" t="inlineStr">
        <is>
          <t>https://www.youshouldautomatethat.tech/zh/catalog/agibot-g2/</t>
        </is>
      </c>
      <c r="M181" s="16" t="inlineStr">
        <is>
          <t>低</t>
        </is>
      </c>
    </row>
    <row r="182">
      <c r="A182" s="16" t="inlineStr">
        <is>
          <t>R-13</t>
        </is>
      </c>
      <c r="B182" s="16" t="inlineStr">
        <is>
          <t>ROI</t>
        </is>
      </c>
      <c r="C182" s="16" t="inlineStr"/>
      <c r="D182" s="16" t="inlineStr">
        <is>
          <t>银河通用 Galbot G1 售价</t>
        </is>
      </c>
      <c r="E182" s="16" t="inlineStr">
        <is>
          <t>京东上架售价69.99万元（另有约63万元的说法）</t>
        </is>
      </c>
      <c r="F182" s="16" t="inlineStr">
        <is>
          <t>媒体（东方财富）</t>
        </is>
      </c>
      <c r="G182" s="16" t="inlineStr">
        <is>
          <t>2026-02</t>
        </is>
      </c>
      <c r="H182" s="16" t="inlineStr">
        <is>
          <t>实际（标价）</t>
        </is>
      </c>
      <c r="I182" s="16" t="inlineStr">
        <is>
          <t>63–70万元</t>
        </is>
      </c>
      <c r="J182" s="16" t="inlineStr"/>
      <c r="K182" s="16" t="inlineStr">
        <is>
          <t>配置口径不一</t>
        </is>
      </c>
      <c r="L182" s="16" t="inlineStr">
        <is>
          <t>https://finance.eastmoney.com/a/202602173651264736.html</t>
        </is>
      </c>
      <c r="M182" s="16" t="inlineStr">
        <is>
          <t>中</t>
        </is>
      </c>
    </row>
    <row r="183">
      <c r="A183" s="16" t="inlineStr">
        <is>
          <t>R-14</t>
        </is>
      </c>
      <c r="B183" s="16" t="inlineStr">
        <is>
          <t>ROI</t>
        </is>
      </c>
      <c r="C183" s="16" t="inlineStr"/>
      <c r="D183" s="16" t="inlineStr">
        <is>
          <t>乐聚夸父售价</t>
        </is>
      </c>
      <c r="E183" s="16" t="inlineStr">
        <is>
          <t>WAIC现场：价格预估60–80万元；目标三年内降至20万元以内</t>
        </is>
      </c>
      <c r="F183" s="16" t="inlineStr">
        <is>
          <t>乐聚（媒体）</t>
        </is>
      </c>
      <c r="G183" s="16" t="inlineStr">
        <is>
          <t>2023–2024</t>
        </is>
      </c>
      <c r="H183" s="16" t="inlineStr">
        <is>
          <t>实际/计划</t>
        </is>
      </c>
      <c r="I183" s="16" t="inlineStr">
        <is>
          <t>60–80万元（2024）</t>
        </is>
      </c>
      <c r="J183" s="16" t="inlineStr"/>
      <c r="K183" s="16" t="inlineStr">
        <is>
          <t>价格较旧，2026年工业版价格未找到</t>
        </is>
      </c>
      <c r="L183" s="16" t="inlineStr">
        <is>
          <t>https://www.21jingji.com/article/20231211/herald/f36b72720e8b610c54593d094ba6c156.html</t>
        </is>
      </c>
      <c r="M183" s="16" t="inlineStr">
        <is>
          <t>中</t>
        </is>
      </c>
    </row>
    <row r="184">
      <c r="A184" s="16" t="inlineStr">
        <is>
          <t>R-15</t>
        </is>
      </c>
      <c r="B184" s="16" t="inlineStr">
        <is>
          <t>ROI</t>
        </is>
      </c>
      <c r="C184" s="16" t="inlineStr"/>
      <c r="D184" s="16" t="inlineStr">
        <is>
          <t>宇树均价</t>
        </is>
      </c>
      <c r="E184" s="16" t="inlineStr">
        <is>
          <t>人形平均售价：59.34万元（2023）→26.04万元（2024）→16.64万元（2025）</t>
        </is>
      </c>
      <c r="F184" s="16" t="inlineStr">
        <is>
          <t>宇树招股书（中银转引）</t>
        </is>
      </c>
      <c r="G184" s="16" t="inlineStr">
        <is>
          <t>2026</t>
        </is>
      </c>
      <c r="H184" s="16" t="inlineStr">
        <is>
          <t>实际</t>
        </is>
      </c>
      <c r="I184" s="16" t="inlineStr">
        <is>
          <t>16.64万元（2025）</t>
        </is>
      </c>
      <c r="J184" s="16" t="inlineStr"/>
      <c r="K184" s="16" t="inlineStr">
        <is>
          <t>以科研教育为主，含 G1/R1</t>
        </is>
      </c>
      <c r="L184" s="16" t="inlineStr">
        <is>
          <t>https://pdf.dfcfw.com/pdf/H3_AP202608081827784429_1.pdf</t>
        </is>
      </c>
      <c r="M184" s="16" t="inlineStr">
        <is>
          <t>高</t>
        </is>
      </c>
    </row>
    <row r="185">
      <c r="A185" s="16" t="inlineStr">
        <is>
          <t>R-16</t>
        </is>
      </c>
      <c r="B185" s="16" t="inlineStr">
        <is>
          <t>ROI</t>
        </is>
      </c>
      <c r="C185" s="16" t="inlineStr"/>
      <c r="D185" s="16" t="inlineStr">
        <is>
          <t>国内日租价（商演为主）</t>
        </is>
      </c>
      <c r="E185" s="16" t="inlineStr">
        <is>
          <t>全包日租降至约3000元；宇树H2日租8999元起，智元X2日租4899元起</t>
        </is>
      </c>
      <c r="F185" s="16" t="inlineStr">
        <is>
          <t>央广网、二手汇总</t>
        </is>
      </c>
      <c r="G185" s="16" t="inlineStr">
        <is>
          <t>2026-10</t>
        </is>
      </c>
      <c r="H185" s="16" t="inlineStr">
        <is>
          <t>实际（报价）</t>
        </is>
      </c>
      <c r="I185" s="16" t="inlineStr">
        <is>
          <t>0.3–0.9万元/天</t>
        </is>
      </c>
      <c r="J185" s="16" t="inlineStr"/>
      <c r="K185" s="16" t="inlineStr">
        <is>
          <t>商演、文旅口径，不适用于工厂长租</t>
        </is>
      </c>
      <c r="L185" s="16" t="inlineStr">
        <is>
          <t>https://www.cnr.cn/jingji/gundong/20261013/t20261013_527840513.shtml</t>
        </is>
      </c>
      <c r="M185" s="16" t="inlineStr">
        <is>
          <t>中</t>
        </is>
      </c>
    </row>
    <row r="186">
      <c r="A186" s="16" t="inlineStr">
        <is>
          <t>R-17</t>
        </is>
      </c>
      <c r="B186" s="16" t="inlineStr">
        <is>
          <t>ROI</t>
        </is>
      </c>
      <c r="C186" s="16" t="inlineStr"/>
      <c r="D186" s="16" t="inlineStr">
        <is>
          <t>国内工厂长租/RaaS</t>
        </is>
      </c>
      <c r="E186" s="16" t="inlineStr">
        <is>
          <t>擎天租、奇瑞租赁等类RaaS尚处早期，以项目制和短租为主</t>
        </is>
      </c>
      <c r="F186" s="16" t="inlineStr">
        <is>
          <t>财经网</t>
        </is>
      </c>
      <c r="G186" s="16" t="inlineStr">
        <is>
          <t>2026-10-19</t>
        </is>
      </c>
      <c r="H186" s="16" t="inlineStr">
        <is>
          <t>定性</t>
        </is>
      </c>
      <c r="I186" s="16" t="inlineStr">
        <is>
          <t>月租价未找到</t>
        </is>
      </c>
      <c r="J186" s="16" t="inlineStr"/>
      <c r="K186" s="16" t="inlineStr">
        <is>
          <t>—</t>
        </is>
      </c>
      <c r="L186" s="16" t="inlineStr">
        <is>
          <t>http://tech.caijing.com.cn/20261019/5188512.shtml</t>
        </is>
      </c>
      <c r="M186" s="16" t="inlineStr">
        <is>
          <t>中</t>
        </is>
      </c>
    </row>
    <row r="187">
      <c r="A187" s="16" t="inlineStr">
        <is>
          <t>R-18</t>
        </is>
      </c>
      <c r="B187" s="16" t="inlineStr">
        <is>
          <t>ROI</t>
        </is>
      </c>
      <c r="C187" s="16" t="inlineStr"/>
      <c r="D187" s="16" t="inlineStr">
        <is>
          <t>机构假设的长租价</t>
        </is>
      </c>
      <c r="E187" s="16" t="inlineStr">
        <is>
          <t>具身机器人租赁价10万元/年，一台替代2人</t>
        </is>
      </c>
      <c r="F187" s="16" t="inlineStr">
        <is>
          <t>灼识咨询</t>
        </is>
      </c>
      <c r="G187" s="16" t="inlineStr">
        <is>
          <t>2026-09</t>
        </is>
      </c>
      <c r="H187" s="16" t="inlineStr">
        <is>
          <t>测算（TAM假设）</t>
        </is>
      </c>
      <c r="I187" s="16" t="inlineStr">
        <is>
          <t>10万元/年</t>
        </is>
      </c>
      <c r="J187" s="16" t="inlineStr"/>
      <c r="K187" s="16" t="inlineStr">
        <is>
          <t>零售、仓储场景假设，非报价</t>
        </is>
      </c>
      <c r="L187" s="16" t="inlineStr">
        <is>
          <t>本地：灼识咨询_具身智能大脑行业白皮书_2026-09.pdf，第18–19、29页</t>
        </is>
      </c>
      <c r="M187" s="16" t="inlineStr">
        <is>
          <t>中</t>
        </is>
      </c>
    </row>
    <row r="188">
      <c r="A188" s="16" t="inlineStr">
        <is>
          <t>R-19</t>
        </is>
      </c>
      <c r="B188" s="16" t="inlineStr">
        <is>
          <t>ROI</t>
        </is>
      </c>
      <c r="C188" s="16" t="inlineStr"/>
      <c r="D188" s="16" t="inlineStr">
        <is>
          <t>Walker S2 相对人工效率</t>
        </is>
      </c>
      <c r="E188" s="16" t="inlineStr">
        <is>
          <t>搬运、上下料成功率99%，效率已达人类工人的45%</t>
        </is>
      </c>
      <c r="F188" s="16" t="inlineStr">
        <is>
          <t>优必选CEO周剑（21经济网转述）</t>
        </is>
      </c>
      <c r="G188" s="16" t="inlineStr">
        <is>
          <t>2026-01-26</t>
        </is>
      </c>
      <c r="H188" s="16" t="inlineStr">
        <is>
          <t>实际（公司口径）</t>
        </is>
      </c>
      <c r="I188" s="16" t="inlineStr">
        <is>
          <t>效率0.45，成功率99%</t>
        </is>
      </c>
      <c r="J188" s="16" t="inlineStr">
        <is>
          <t>假设：相对人工作业速度；假设：任务成功率</t>
        </is>
      </c>
      <c r="K188" s="16" t="inlineStr">
        <is>
          <t>未说明测量方法；非直接引语</t>
        </is>
      </c>
      <c r="L188" s="16" t="inlineStr">
        <is>
          <t>https://www.21jingji.com/article/20260126/herald/cfb1e16beb5a96b951bab268c86adcb0.html</t>
        </is>
      </c>
      <c r="M188" s="16" t="inlineStr">
        <is>
          <t>中高</t>
        </is>
      </c>
    </row>
    <row r="189">
      <c r="A189" s="16" t="inlineStr">
        <is>
          <t>R-20</t>
        </is>
      </c>
      <c r="B189" s="16" t="inlineStr">
        <is>
          <t>ROI</t>
        </is>
      </c>
      <c r="C189" s="16" t="inlineStr"/>
      <c r="D189" s="16" t="inlineStr">
        <is>
          <t>Walker S2 效率目标</t>
        </is>
      </c>
      <c r="E189" s="16" t="inlineStr">
        <is>
          <t>2026年有望突破60%；2027年目标80%</t>
        </is>
      </c>
      <c r="F189" s="16" t="inlineStr">
        <is>
          <t>优必选</t>
        </is>
      </c>
      <c r="G189" s="16" t="inlineStr">
        <is>
          <t>2026-01</t>
        </is>
      </c>
      <c r="H189" s="16" t="inlineStr">
        <is>
          <t>计划</t>
        </is>
      </c>
      <c r="I189" s="16" t="inlineStr">
        <is>
          <t>0.6（2026年），0.8（2027年）</t>
        </is>
      </c>
      <c r="J189" s="16" t="inlineStr"/>
      <c r="K189" s="16" t="inlineStr">
        <is>
          <t>目标值</t>
        </is>
      </c>
      <c r="L189" s="16" t="inlineStr">
        <is>
          <t>同上；https://www.huxiu.com/article/4843723.html</t>
        </is>
      </c>
      <c r="M189" s="16" t="inlineStr">
        <is>
          <t>中</t>
        </is>
      </c>
    </row>
    <row r="190">
      <c r="A190" s="16" t="inlineStr">
        <is>
          <t>R-21</t>
        </is>
      </c>
      <c r="B190" s="16" t="inlineStr">
        <is>
          <t>ROI</t>
        </is>
      </c>
      <c r="C190" s="16" t="inlineStr"/>
      <c r="D190" s="16" t="inlineStr">
        <is>
          <t>Walker S2 生产力（FT口径）</t>
        </is>
      </c>
      <c r="E190" s="16" t="inlineStr">
        <is>
          <t>仅为人类的30%–50%，限于堆箱、质检</t>
        </is>
      </c>
      <c r="F190" s="16" t="inlineStr">
        <is>
          <t>优必选首席品牌官（FT，经二手转述）</t>
        </is>
      </c>
      <c r="G190" s="16" t="inlineStr">
        <is>
          <t>2026-01</t>
        </is>
      </c>
      <c r="H190" s="16" t="inlineStr">
        <is>
          <t>实际（公司口径）</t>
        </is>
      </c>
      <c r="I190" s="16" t="inlineStr">
        <is>
          <t>0.30–0.50</t>
        </is>
      </c>
      <c r="J190" s="16" t="inlineStr">
        <is>
          <t>假设：相对人工作业速度</t>
        </is>
      </c>
      <c r="K190" s="16" t="inlineStr">
        <is>
          <t>未见FT原文</t>
        </is>
      </c>
      <c r="L190" s="16" t="inlineStr">
        <is>
          <t>https://www.vandestar.com/zh-CN/use-case-humanoid-ubtech-walker-s2/</t>
        </is>
      </c>
      <c r="M190" s="16" t="inlineStr">
        <is>
          <t>中</t>
        </is>
      </c>
    </row>
    <row r="191">
      <c r="A191" s="16" t="inlineStr">
        <is>
          <t>R-22</t>
        </is>
      </c>
      <c r="B191" s="16" t="inlineStr">
        <is>
          <t>ROI</t>
        </is>
      </c>
      <c r="C191" s="16" t="inlineStr"/>
      <c r="D191" s="16" t="inlineStr">
        <is>
          <t>极氪物料搬运实训（Walker S Lite）</t>
        </is>
      </c>
      <c r="E191" s="16" t="inlineStr">
        <is>
          <t>21天物料搬运，效率只相当于人工的20%，需扫二维码定位</t>
        </is>
      </c>
      <c r="F191" s="16" t="inlineStr">
        <is>
          <t>人民日报</t>
        </is>
      </c>
      <c r="G191" s="16" t="inlineStr">
        <is>
          <t>2025-04-23</t>
        </is>
      </c>
      <c r="H191" s="16" t="inlineStr">
        <is>
          <t>实际</t>
        </is>
      </c>
      <c r="I191" s="16" t="inlineStr">
        <is>
          <t>0.20</t>
        </is>
      </c>
      <c r="J191" s="16" t="inlineStr"/>
      <c r="K191" s="16" t="inlineStr">
        <is>
          <t>2024年早期机型</t>
        </is>
      </c>
      <c r="L191" s="16" t="inlineStr">
        <is>
          <t>http://paper.people.com.cn/rmrb/pc/content/202504/23/content_30069534.html</t>
        </is>
      </c>
      <c r="M191" s="16" t="inlineStr">
        <is>
          <t>高</t>
        </is>
      </c>
    </row>
    <row r="192">
      <c r="A192" s="16" t="inlineStr">
        <is>
          <t>R-23</t>
        </is>
      </c>
      <c r="B192" s="16" t="inlineStr">
        <is>
          <t>ROI</t>
        </is>
      </c>
      <c r="C192" s="16" t="inlineStr"/>
      <c r="D192" s="16" t="inlineStr">
        <is>
          <t>极氪第二轮实训（Walker S1）</t>
        </is>
      </c>
      <c r="E192" s="16" t="inlineStr">
        <is>
          <t>工作范围扩大30%，搬运速度提升约25%</t>
        </is>
      </c>
      <c r="F192" s="16" t="inlineStr">
        <is>
          <t>人民日报等</t>
        </is>
      </c>
      <c r="G192" s="16" t="inlineStr">
        <is>
          <t>2025-04</t>
        </is>
      </c>
      <c r="H192" s="16" t="inlineStr">
        <is>
          <t>实际</t>
        </is>
      </c>
      <c r="I192" s="16" t="inlineStr">
        <is>
          <t>较上一代提升25%</t>
        </is>
      </c>
      <c r="J192" s="16" t="inlineStr"/>
      <c r="K192" s="16" t="inlineStr">
        <is>
          <t>与上一代比，不是与人工比</t>
        </is>
      </c>
      <c r="L192" s="16" t="inlineStr">
        <is>
          <t>同上</t>
        </is>
      </c>
      <c r="M192" s="16" t="inlineStr">
        <is>
          <t>中高</t>
        </is>
      </c>
    </row>
    <row r="193">
      <c r="A193" s="16" t="inlineStr">
        <is>
          <t>R-24</t>
        </is>
      </c>
      <c r="B193" s="16" t="inlineStr">
        <is>
          <t>ROI</t>
        </is>
      </c>
      <c r="C193" s="16" t="inlineStr"/>
      <c r="D193" s="16" t="inlineStr">
        <is>
          <t>比亚迪一期实训（Walker S1）</t>
        </is>
      </c>
      <c r="E193" s="16" t="inlineStr">
        <is>
          <t>作业效率提升一倍，稳定性提升30%</t>
        </is>
      </c>
      <c r="F193" s="16" t="inlineStr">
        <is>
          <t>优必选（媒体）</t>
        </is>
      </c>
      <c r="G193" s="16" t="inlineStr">
        <is>
          <t>2025-01</t>
        </is>
      </c>
      <c r="H193" s="16" t="inlineStr">
        <is>
          <t>实际</t>
        </is>
      </c>
      <c r="I193" s="16" t="inlineStr">
        <is>
          <t>较自身提升2倍</t>
        </is>
      </c>
      <c r="J193" s="16" t="inlineStr"/>
      <c r="K193" s="16" t="inlineStr">
        <is>
          <t>与自身比</t>
        </is>
      </c>
      <c r="L193" s="16" t="inlineStr">
        <is>
          <t>https://finance.sina.com.cn/jjxw/2025-02-14/doc-inekmiti1046272.shtml</t>
        </is>
      </c>
      <c r="M193" s="16" t="inlineStr">
        <is>
          <t>中</t>
        </is>
      </c>
    </row>
    <row r="194">
      <c r="A194" s="16" t="inlineStr">
        <is>
          <t>R-25</t>
        </is>
      </c>
      <c r="B194" s="16" t="inlineStr">
        <is>
          <t>ROI</t>
        </is>
      </c>
      <c r="C194" s="16" t="inlineStr"/>
      <c r="D194" s="16" t="inlineStr">
        <is>
          <t>东风柳汽实训</t>
        </is>
      </c>
      <c r="E194" s="16" t="inlineStr">
        <is>
          <t>实训测试显示，目前差不多能顶半个工人；产线工作中暂无故障</t>
        </is>
      </c>
      <c r="F194" s="16" t="inlineStr">
        <is>
          <t>东风柳汽相关负责人</t>
        </is>
      </c>
      <c r="G194" s="16" t="inlineStr">
        <is>
          <t>2026-08-12</t>
        </is>
      </c>
      <c r="H194" s="16" t="inlineStr">
        <is>
          <t>实际（受访口径）</t>
        </is>
      </c>
      <c r="I194" s="16" t="inlineStr">
        <is>
          <t>0.5</t>
        </is>
      </c>
      <c r="J194" s="16" t="inlineStr">
        <is>
          <t>假设：相对人工作业速度</t>
        </is>
      </c>
      <c r="K194" s="16" t="inlineStr">
        <is>
          <t>定性</t>
        </is>
      </c>
      <c r="L194" s="16" t="inlineStr">
        <is>
          <t>https://www.huxiu.com/article/4882514.html</t>
        </is>
      </c>
      <c r="M194" s="16" t="inlineStr">
        <is>
          <t>中</t>
        </is>
      </c>
    </row>
    <row r="195">
      <c r="A195" s="16" t="inlineStr">
        <is>
          <t>R-26</t>
        </is>
      </c>
      <c r="B195" s="16" t="inlineStr">
        <is>
          <t>ROI</t>
        </is>
      </c>
      <c r="C195" s="16" t="inlineStr"/>
      <c r="D195" s="16" t="inlineStr">
        <is>
          <t>小米：任务时长与效率</t>
        </is>
      </c>
      <c r="E195" s="16" t="inlineStr">
        <is>
          <t>3–5秒短任务可达人工70%–80%，1分钟以上约30%</t>
        </is>
      </c>
      <c r="F195" s="16" t="inlineStr">
        <is>
          <t>小米机器人总经理向迪昀</t>
        </is>
      </c>
      <c r="G195" s="16" t="inlineStr">
        <is>
          <t>2026-08-19</t>
        </is>
      </c>
      <c r="H195" s="16" t="inlineStr">
        <is>
          <t>实际（公司口径）</t>
        </is>
      </c>
      <c r="I195" s="16" t="inlineStr">
        <is>
          <t>短任务0.7–0.8；30–60秒任务0.6–0.7；长任务0.3</t>
        </is>
      </c>
      <c r="J195" s="16" t="inlineStr">
        <is>
          <t>假设：相对人工作业速度</t>
        </is>
      </c>
      <c r="K195" s="16" t="inlineStr">
        <is>
          <t>小米汽车厂工站，不是料箱搬运</t>
        </is>
      </c>
      <c r="L195" s="16" t="inlineStr">
        <is>
          <t>https://finance.sina.com.cn/jjxw/2026-08-19/doc-ininvwqk8313155.shtml</t>
        </is>
      </c>
      <c r="M195" s="16" t="inlineStr">
        <is>
          <t>中高</t>
        </is>
      </c>
    </row>
    <row r="196">
      <c r="A196" s="16" t="inlineStr">
        <is>
          <t>R-27</t>
        </is>
      </c>
      <c r="B196" s="16" t="inlineStr">
        <is>
          <t>ROI</t>
        </is>
      </c>
      <c r="C196" s="16" t="inlineStr"/>
      <c r="D196" s="16" t="inlineStr">
        <is>
          <t>小米：成功率</t>
        </is>
      </c>
      <c r="E196" s="16" t="inlineStr">
        <is>
          <t>自攻螺母上件双侧成功率从90.2%升至98%，人工约99%</t>
        </is>
      </c>
      <c r="F196" s="16" t="inlineStr">
        <is>
          <t>小米/雷军</t>
        </is>
      </c>
      <c r="G196" s="16" t="inlineStr">
        <is>
          <t>2026-03→2026-07</t>
        </is>
      </c>
      <c r="H196" s="16" t="inlineStr">
        <is>
          <t>实际</t>
        </is>
      </c>
      <c r="I196" s="16" t="inlineStr">
        <is>
          <t>90.2%→98%（人工99%）</t>
        </is>
      </c>
      <c r="J196" s="16" t="inlineStr">
        <is>
          <t>假设：任务成功率</t>
        </is>
      </c>
      <c r="K196" s="16" t="inlineStr">
        <is>
          <t>单个工站</t>
        </is>
      </c>
      <c r="L196" s="16" t="inlineStr">
        <is>
          <t>https://finance.sina.cn/stock/jdts/2026-07-14/detail-inihuhka8460222.d.html</t>
        </is>
      </c>
      <c r="M196" s="16" t="inlineStr">
        <is>
          <t>中高</t>
        </is>
      </c>
    </row>
    <row r="197">
      <c r="A197" s="16" t="inlineStr">
        <is>
          <t>R-28</t>
        </is>
      </c>
      <c r="B197" s="16" t="inlineStr">
        <is>
          <t>ROI</t>
        </is>
      </c>
      <c r="C197" s="16" t="inlineStr"/>
      <c r="D197" s="16" t="inlineStr">
        <is>
          <t>小米：节拍</t>
        </is>
      </c>
      <c r="E197" s="16" t="inlineStr">
        <is>
          <t>连续自主运行3小时，满足最快76秒节拍</t>
        </is>
      </c>
      <c r="F197" s="16" t="inlineStr">
        <is>
          <t>小米</t>
        </is>
      </c>
      <c r="G197" s="16" t="inlineStr">
        <is>
          <t>2026-03-02</t>
        </is>
      </c>
      <c r="H197" s="16" t="inlineStr">
        <is>
          <t>实际</t>
        </is>
      </c>
      <c r="I197" s="16" t="inlineStr">
        <is>
          <t>76秒/节拍</t>
        </is>
      </c>
      <c r="J197" s="16" t="inlineStr"/>
      <c r="K197" s="16" t="inlineStr">
        <is>
          <t>只测了3小时</t>
        </is>
      </c>
      <c r="L197" s="16" t="inlineStr">
        <is>
          <t>https://www.guancha.cn/economy/2026_03_02_808535.shtml</t>
        </is>
      </c>
      <c r="M197" s="16" t="inlineStr">
        <is>
          <t>中高</t>
        </is>
      </c>
    </row>
    <row r="198">
      <c r="A198" s="16" t="inlineStr">
        <is>
          <t>R-29</t>
        </is>
      </c>
      <c r="B198" s="16" t="inlineStr">
        <is>
          <t>ROI</t>
        </is>
      </c>
      <c r="C198" s="16" t="inlineStr"/>
      <c r="D198" s="16" t="inlineStr">
        <is>
          <t>小米：料箱工站</t>
        </is>
      </c>
      <c r="E198" s="16" t="inlineStr">
        <is>
          <t>新增料箱折叠回收等工站，成功率均为90%</t>
        </is>
      </c>
      <c r="F198" s="16" t="inlineStr">
        <is>
          <t>小米/雷军</t>
        </is>
      </c>
      <c r="G198" s="16" t="inlineStr">
        <is>
          <t>2026-07</t>
        </is>
      </c>
      <c r="H198" s="16" t="inlineStr">
        <is>
          <t>实际</t>
        </is>
      </c>
      <c r="I198" s="16" t="inlineStr">
        <is>
          <t>90%</t>
        </is>
      </c>
      <c r="J198" s="16" t="inlineStr">
        <is>
          <t>假设：任务成功率</t>
        </is>
      </c>
      <c r="K198" s="16" t="inlineStr">
        <is>
          <t>—</t>
        </is>
      </c>
      <c r="L198" s="16" t="inlineStr">
        <is>
          <t>https://finance.sina.com.cn/tech/digi/2026-07-14/doc-inihuhka8448348.shtml</t>
        </is>
      </c>
      <c r="M198" s="16" t="inlineStr">
        <is>
          <t>中高</t>
        </is>
      </c>
    </row>
    <row r="199">
      <c r="A199" s="16" t="inlineStr">
        <is>
          <t>R-30</t>
        </is>
      </c>
      <c r="B199" s="16" t="inlineStr">
        <is>
          <t>ROI</t>
        </is>
      </c>
      <c r="C199" s="16" t="inlineStr"/>
      <c r="D199" s="16" t="inlineStr">
        <is>
          <t>乐聚@兆丰：上料节拍</t>
        </is>
      </c>
      <c r="E199" s="16" t="inlineStr">
        <is>
          <t>单次完整上料循环在40秒以内，上料约35秒</t>
        </is>
      </c>
      <c r="F199" s="16" t="inlineStr">
        <is>
          <t>乐聚与兆丰联合披露</t>
        </is>
      </c>
      <c r="G199" s="16" t="inlineStr">
        <is>
          <t>2026-10-15</t>
        </is>
      </c>
      <c r="H199" s="16" t="inlineStr">
        <is>
          <t>实际</t>
        </is>
      </c>
      <c r="I199" s="16" t="inlineStr">
        <is>
          <t>35–40秒</t>
        </is>
      </c>
      <c r="J199" s="16" t="inlineStr"/>
      <c r="K199" s="16" t="inlineStr">
        <is>
          <t>未给人工节拍；无第三方核实</t>
        </is>
      </c>
      <c r="L199" s="16" t="inlineStr">
        <is>
          <t>https://www.21jingji.com/article/20261019/herald/2229f5247cdf19d8b44ef342437c3e38.html</t>
        </is>
      </c>
      <c r="M199" s="16" t="inlineStr">
        <is>
          <t>中</t>
        </is>
      </c>
    </row>
    <row r="200">
      <c r="A200" s="16" t="inlineStr">
        <is>
          <t>R-31</t>
        </is>
      </c>
      <c r="B200" s="16" t="inlineStr">
        <is>
          <t>ROI</t>
        </is>
      </c>
      <c r="C200" s="16" t="inlineStr"/>
      <c r="D200" s="16" t="inlineStr">
        <is>
          <t>乐聚@兆丰：成功率与累计运行</t>
        </is>
      </c>
      <c r="E200" s="16" t="inlineStr">
        <is>
          <t>上料成功率98%，累计运行约1000小时，协助生产6万余件</t>
        </is>
      </c>
      <c r="F200" s="16" t="inlineStr">
        <is>
          <t>同上</t>
        </is>
      </c>
      <c r="G200" s="16" t="inlineStr">
        <is>
          <t>2026-10</t>
        </is>
      </c>
      <c r="H200" s="16" t="inlineStr">
        <is>
          <t>实际</t>
        </is>
      </c>
      <c r="I200" s="16" t="inlineStr">
        <is>
          <t>98%；约60件/小时（作者推算）</t>
        </is>
      </c>
      <c r="J200" s="16" t="inlineStr">
        <is>
          <t>假设：任务成功率</t>
        </is>
      </c>
      <c r="K200" s="16" t="inlineStr">
        <is>
          <t>1000小时是15台合计还是单台不明</t>
        </is>
      </c>
      <c r="L200" s="16" t="inlineStr">
        <is>
          <t>同上</t>
        </is>
      </c>
      <c r="M200" s="16" t="inlineStr">
        <is>
          <t>中</t>
        </is>
      </c>
    </row>
    <row r="201">
      <c r="A201" s="16" t="inlineStr">
        <is>
          <t>R-32</t>
        </is>
      </c>
      <c r="B201" s="16" t="inlineStr">
        <is>
          <t>ROI</t>
        </is>
      </c>
      <c r="C201" s="16" t="inlineStr"/>
      <c r="D201" s="16" t="inlineStr">
        <is>
          <t>乐聚@兆丰：节拍目标</t>
        </is>
      </c>
      <c r="E201" s="16" t="inlineStr">
        <is>
          <t>上料约需35秒，目标15秒左右，半年到一年接近</t>
        </is>
      </c>
      <c r="F201" s="16" t="inlineStr">
        <is>
          <t>乐聚、兆丰董事长</t>
        </is>
      </c>
      <c r="G201" s="16" t="inlineStr">
        <is>
          <t>2026-10</t>
        </is>
      </c>
      <c r="H201" s="16" t="inlineStr">
        <is>
          <t>计划</t>
        </is>
      </c>
      <c r="I201" s="16" t="inlineStr">
        <is>
          <t>15秒</t>
        </is>
      </c>
      <c r="J201" s="16" t="inlineStr"/>
      <c r="K201" s="16" t="inlineStr">
        <is>
          <t>目标值</t>
        </is>
      </c>
      <c r="L201" s="16" t="inlineStr">
        <is>
          <t>同上</t>
        </is>
      </c>
      <c r="M201" s="16" t="inlineStr">
        <is>
          <t>中</t>
        </is>
      </c>
    </row>
    <row r="202">
      <c r="A202" s="16" t="inlineStr">
        <is>
          <t>R-33</t>
        </is>
      </c>
      <c r="B202" s="16" t="inlineStr">
        <is>
          <t>ROI</t>
        </is>
      </c>
      <c r="C202" s="16" t="inlineStr"/>
      <c r="D202" s="16" t="inlineStr">
        <is>
          <t>乐聚@兆丰：作业时长</t>
        </is>
      </c>
      <c r="E202" s="16" t="inlineStr">
        <is>
          <t>机器人已能进行8小时作业</t>
        </is>
      </c>
      <c r="F202" s="16" t="inlineStr">
        <is>
          <t>兆丰董事长孔爱祥</t>
        </is>
      </c>
      <c r="G202" s="16" t="inlineStr">
        <is>
          <t>2026-10</t>
        </is>
      </c>
      <c r="H202" s="16" t="inlineStr">
        <is>
          <t>实际</t>
        </is>
      </c>
      <c r="I202" s="16" t="inlineStr">
        <is>
          <t>8小时/天</t>
        </is>
      </c>
      <c r="J202" s="16" t="inlineStr">
        <is>
          <t>假设：计划工时</t>
        </is>
      </c>
      <c r="K202" s="16" t="inlineStr">
        <is>
          <t>单班</t>
        </is>
      </c>
      <c r="L202" s="16" t="inlineStr">
        <is>
          <t>同上</t>
        </is>
      </c>
      <c r="M202" s="16" t="inlineStr">
        <is>
          <t>中</t>
        </is>
      </c>
    </row>
    <row r="203">
      <c r="A203" s="16" t="inlineStr">
        <is>
          <t>R-34</t>
        </is>
      </c>
      <c r="B203" s="16" t="inlineStr">
        <is>
          <t>ROI</t>
        </is>
      </c>
      <c r="C203" s="16" t="inlineStr"/>
      <c r="D203" s="16" t="inlineStr">
        <is>
          <t>乐聚@兆丰：人工照看</t>
        </is>
      </c>
      <c r="E203" s="16" t="inlineStr">
        <is>
          <t>一名工程师照看约四台机器人</t>
        </is>
      </c>
      <c r="F203" s="16" t="inlineStr">
        <is>
          <t>21经济网记者了解</t>
        </is>
      </c>
      <c r="G203" s="16" t="inlineStr">
        <is>
          <t>2026-10</t>
        </is>
      </c>
      <c r="H203" s="16" t="inlineStr">
        <is>
          <t>实际</t>
        </is>
      </c>
      <c r="I203" s="16" t="inlineStr">
        <is>
          <t>1名工程师:4台</t>
        </is>
      </c>
      <c r="J203" s="16" t="inlineStr">
        <is>
          <t>假设：监管工程师配比</t>
        </is>
      </c>
      <c r="K203" s="16" t="inlineStr">
        <is>
          <t>未说明按班还是按天</t>
        </is>
      </c>
      <c r="L203" s="16" t="inlineStr">
        <is>
          <t>同上</t>
        </is>
      </c>
      <c r="M203" s="16" t="inlineStr">
        <is>
          <t>中</t>
        </is>
      </c>
    </row>
    <row r="204">
      <c r="A204" s="16" t="inlineStr">
        <is>
          <t>R-35</t>
        </is>
      </c>
      <c r="B204" s="16" t="inlineStr">
        <is>
          <t>ROI</t>
        </is>
      </c>
      <c r="C204" s="16" t="inlineStr"/>
      <c r="D204" s="16" t="inlineStr">
        <is>
          <t>乐聚@兆丰：遥操作</t>
        </is>
      </c>
      <c r="E204" s="16" t="inlineStr">
        <is>
          <t>40秒内完成上料，全程无需遥操作</t>
        </is>
      </c>
      <c r="F204" s="16" t="inlineStr">
        <is>
          <t>21经济网</t>
        </is>
      </c>
      <c r="G204" s="16" t="inlineStr">
        <is>
          <t>2026-10-16</t>
        </is>
      </c>
      <c r="H204" s="16" t="inlineStr">
        <is>
          <t>实际</t>
        </is>
      </c>
      <c r="I204" s="16" t="inlineStr">
        <is>
          <t>遥操作0</t>
        </is>
      </c>
      <c r="J204" s="16" t="inlineStr"/>
      <c r="K204" s="16" t="inlineStr">
        <is>
          <t>演示/采访口径</t>
        </is>
      </c>
      <c r="L204" s="16" t="inlineStr">
        <is>
          <t>https://www.21jingji.com/article/20261016/herald/aee8ef72f5990b8361ce73d88e15673c.html</t>
        </is>
      </c>
      <c r="M204" s="16" t="inlineStr">
        <is>
          <t>中</t>
        </is>
      </c>
    </row>
    <row r="205">
      <c r="A205" s="16" t="inlineStr">
        <is>
          <t>R-36</t>
        </is>
      </c>
      <c r="B205" s="16" t="inlineStr">
        <is>
          <t>ROI</t>
        </is>
      </c>
      <c r="C205" s="16" t="inlineStr"/>
      <c r="D205" s="16" t="inlineStr">
        <is>
          <t>兆丰另一批机器人</t>
        </is>
      </c>
      <c r="E205" s="16" t="inlineStr">
        <is>
          <t>近20台承接上下料，节拍20–25秒</t>
        </is>
      </c>
      <c r="F205" s="16" t="inlineStr">
        <is>
          <t>中新网</t>
        </is>
      </c>
      <c r="G205" s="16" t="inlineStr">
        <is>
          <t>2026-10-13</t>
        </is>
      </c>
      <c r="H205" s="16" t="inlineStr">
        <is>
          <t>实际</t>
        </is>
      </c>
      <c r="I205" s="16" t="inlineStr">
        <is>
          <t>20–25秒</t>
        </is>
      </c>
      <c r="J205" s="16" t="inlineStr"/>
      <c r="K205" s="16" t="inlineStr">
        <is>
          <t>与R-30口径不同</t>
        </is>
      </c>
      <c r="L205" s="16" t="inlineStr">
        <is>
          <t>https://www.chinanews.com.cn/tp/2026/10-13/10714034.shtml</t>
        </is>
      </c>
      <c r="M205" s="16" t="inlineStr">
        <is>
          <t>中</t>
        </is>
      </c>
    </row>
    <row r="206">
      <c r="A206" s="16" t="inlineStr">
        <is>
          <t>R-37</t>
        </is>
      </c>
      <c r="B206" s="16" t="inlineStr">
        <is>
          <t>ROI</t>
        </is>
      </c>
      <c r="C206" s="16" t="inlineStr"/>
      <c r="D206" s="16" t="inlineStr">
        <is>
          <t>智元G2@龙旗（3C上下料）</t>
        </is>
      </c>
      <c r="E206" s="16" t="inlineStr">
        <is>
          <t>8小时2283次上下料，成功率99.5%以上，单工序18–20秒</t>
        </is>
      </c>
      <c r="F206" s="16" t="inlineStr">
        <is>
          <t>智元直播（腾讯新闻）</t>
        </is>
      </c>
      <c r="G206" s="16" t="inlineStr">
        <is>
          <t>2026-04-14</t>
        </is>
      </c>
      <c r="H206" s="16" t="inlineStr">
        <is>
          <t>实际</t>
        </is>
      </c>
      <c r="I206" s="16" t="inlineStr">
        <is>
          <t>约285次/小时；99.5%</t>
        </is>
      </c>
      <c r="J206" s="16" t="inlineStr">
        <is>
          <t>假设：任务成功率</t>
        </is>
      </c>
      <c r="K206" s="16" t="inlineStr">
        <is>
          <t>3C场景，不是汽车厂</t>
        </is>
      </c>
      <c r="L206" s="16" t="inlineStr">
        <is>
          <t>https://news.qq.com/rain/a/20260415A0568900</t>
        </is>
      </c>
      <c r="M206" s="16" t="inlineStr">
        <is>
          <t>中高</t>
        </is>
      </c>
    </row>
    <row r="207">
      <c r="A207" s="16" t="inlineStr">
        <is>
          <t>R-38</t>
        </is>
      </c>
      <c r="B207" s="16" t="inlineStr">
        <is>
          <t>ROI</t>
        </is>
      </c>
      <c r="C207" s="16" t="inlineStr"/>
      <c r="D207" s="16" t="inlineStr">
        <is>
          <t>智元G2@均普、均胜</t>
        </is>
      </c>
      <c r="E207" s="16" t="inlineStr">
        <is>
          <t>精密上下料节拍13秒以内，成功率99.9%以上</t>
        </is>
      </c>
      <c r="F207" s="16" t="inlineStr">
        <is>
          <t>智元（工博会）</t>
        </is>
      </c>
      <c r="G207" s="16" t="inlineStr">
        <is>
          <t>2026-10-12</t>
        </is>
      </c>
      <c r="H207" s="16" t="inlineStr">
        <is>
          <t>实际（公司口径）</t>
        </is>
      </c>
      <c r="I207" s="16" t="inlineStr">
        <is>
          <t>13秒，99.9%</t>
        </is>
      </c>
      <c r="J207" s="16" t="inlineStr"/>
      <c r="K207" s="16" t="inlineStr">
        <is>
          <t>公司口径</t>
        </is>
      </c>
      <c r="L207" s="16" t="inlineStr">
        <is>
          <t>http://news.10jqka.com.cn/20261013/c680628037.shtml</t>
        </is>
      </c>
      <c r="M207" s="16" t="inlineStr">
        <is>
          <t>中</t>
        </is>
      </c>
    </row>
    <row r="208">
      <c r="A208" s="16" t="inlineStr">
        <is>
          <t>R-39</t>
        </is>
      </c>
      <c r="B208" s="16" t="inlineStr">
        <is>
          <t>ROI</t>
        </is>
      </c>
      <c r="C208" s="16" t="inlineStr"/>
      <c r="D208" s="16" t="inlineStr">
        <is>
          <t>智元相对人工效率</t>
        </is>
      </c>
      <c r="E208" s="16" t="inlineStr">
        <is>
          <t>单台机器人效率已达人工的70%以上</t>
        </is>
      </c>
      <c r="F208" s="16" t="inlineStr">
        <is>
          <t>智元（汽车商业评论转述）</t>
        </is>
      </c>
      <c r="G208" s="16" t="inlineStr">
        <is>
          <t>2026-03</t>
        </is>
      </c>
      <c r="H208" s="16" t="inlineStr">
        <is>
          <t>实际（公司口径）</t>
        </is>
      </c>
      <c r="I208" s="16" t="inlineStr">
        <is>
          <t>≥0.7</t>
        </is>
      </c>
      <c r="J208" s="16" t="inlineStr">
        <is>
          <t>假设：相对人工作业速度</t>
        </is>
      </c>
      <c r="K208" s="16" t="inlineStr">
        <is>
          <t>未说明是哪项任务</t>
        </is>
      </c>
      <c r="L208" s="16" t="inlineStr">
        <is>
          <t>https://www.huxiu.com/article/4843723.html</t>
        </is>
      </c>
      <c r="M208" s="16" t="inlineStr">
        <is>
          <t>中</t>
        </is>
      </c>
    </row>
    <row r="209">
      <c r="A209" s="16" t="inlineStr">
        <is>
          <t>R-40</t>
        </is>
      </c>
      <c r="B209" s="16" t="inlineStr">
        <is>
          <t>ROI</t>
        </is>
      </c>
      <c r="C209" s="16" t="inlineStr"/>
      <c r="D209" s="16" t="inlineStr">
        <is>
          <t>小鹏 IRON</t>
        </is>
      </c>
      <c r="E209" s="16" t="inlineStr">
        <is>
          <t>工厂生产效率提升30%，人工成本降低35%</t>
        </is>
      </c>
      <c r="F209" s="16" t="inlineStr">
        <is>
          <t>汽车商业评论（二手）</t>
        </is>
      </c>
      <c r="G209" s="16" t="inlineStr">
        <is>
          <t>2026-03</t>
        </is>
      </c>
      <c r="H209" s="16" t="inlineStr">
        <is>
          <t>实际（口径不明）</t>
        </is>
      </c>
      <c r="I209" s="16" t="inlineStr">
        <is>
          <t>—</t>
        </is>
      </c>
      <c r="J209" s="16" t="inlineStr"/>
      <c r="K209" s="16" t="inlineStr">
        <is>
          <t>口径不明</t>
        </is>
      </c>
      <c r="L209" s="16" t="inlineStr">
        <is>
          <t>同上</t>
        </is>
      </c>
      <c r="M209" s="16" t="inlineStr">
        <is>
          <t>低</t>
        </is>
      </c>
    </row>
    <row r="210">
      <c r="A210" s="16" t="inlineStr">
        <is>
          <t>R-41</t>
        </is>
      </c>
      <c r="B210" s="16" t="inlineStr">
        <is>
          <t>ROI</t>
        </is>
      </c>
      <c r="C210" s="16" t="inlineStr"/>
      <c r="D210" s="16" t="inlineStr">
        <is>
          <t>Walker S2 换电</t>
        </is>
      </c>
      <c r="E210" s="16" t="inlineStr">
        <is>
          <t>3分钟自主换电，可7×24小时工作</t>
        </is>
      </c>
      <c r="F210" s="16" t="inlineStr">
        <is>
          <t>优必选官方</t>
        </is>
      </c>
      <c r="G210" s="16" t="inlineStr">
        <is>
          <t>2025-07</t>
        </is>
      </c>
      <c r="H210" s="16" t="inlineStr">
        <is>
          <t>实际（产品能力）</t>
        </is>
      </c>
      <c r="I210" s="16" t="inlineStr">
        <is>
          <t>换电3分钟</t>
        </is>
      </c>
      <c r="J210" s="16" t="inlineStr">
        <is>
          <t>假设：可用率（充换电、故障、调校停机）</t>
        </is>
      </c>
      <c r="K210" s="16" t="inlineStr">
        <is>
          <t>产品宣传口径</t>
        </is>
      </c>
      <c r="L210" s="16" t="inlineStr">
        <is>
          <t>https://www.ncsti.gov.cn/kjdt/scyq/bjjjjskfq/jkdt/202507/t20250721_210973.html</t>
        </is>
      </c>
      <c r="M210" s="16" t="inlineStr">
        <is>
          <t>中高</t>
        </is>
      </c>
    </row>
    <row r="211">
      <c r="A211" s="16" t="inlineStr">
        <is>
          <t>R-42</t>
        </is>
      </c>
      <c r="B211" s="16" t="inlineStr">
        <is>
          <t>ROI</t>
        </is>
      </c>
      <c r="C211" s="16" t="inlineStr"/>
      <c r="D211" s="16" t="inlineStr">
        <is>
          <t>Walker S1 续航</t>
        </is>
      </c>
      <c r="E211" s="16" t="inlineStr">
        <is>
          <t>连续工作三个多小时需充电一小时</t>
        </is>
      </c>
      <c r="F211" s="16" t="inlineStr">
        <is>
          <t>媒体</t>
        </is>
      </c>
      <c r="G211" s="16" t="inlineStr">
        <is>
          <t>2025</t>
        </is>
      </c>
      <c r="H211" s="16" t="inlineStr">
        <is>
          <t>实际</t>
        </is>
      </c>
      <c r="I211" s="16" t="inlineStr">
        <is>
          <t>可用率约0.75</t>
        </is>
      </c>
      <c r="J211" s="16" t="inlineStr">
        <is>
          <t>假设：可用率（充换电、故障、调校停机）</t>
        </is>
      </c>
      <c r="K211" s="16" t="inlineStr">
        <is>
          <t>上一代机型</t>
        </is>
      </c>
      <c r="L211" s="16" t="inlineStr">
        <is>
          <t>https://www.leaderobot.com/news/5935</t>
        </is>
      </c>
      <c r="M211" s="16" t="inlineStr">
        <is>
          <t>中</t>
        </is>
      </c>
    </row>
    <row r="212">
      <c r="A212" s="16" t="inlineStr">
        <is>
          <t>R-43</t>
        </is>
      </c>
      <c r="B212" s="16" t="inlineStr">
        <is>
          <t>ROI</t>
        </is>
      </c>
      <c r="C212" s="16" t="inlineStr"/>
      <c r="D212" s="16" t="inlineStr">
        <is>
          <t>物流场景效率爬坡（星动纪元）</t>
        </is>
      </c>
      <c r="E212" s="16" t="inlineStr">
        <is>
          <t>初期约100件/小时，调试半年后约1200件/小时，接近熟练工</t>
        </is>
      </c>
      <c r="F212" s="16" t="inlineStr">
        <is>
          <t>新浪财经</t>
        </is>
      </c>
      <c r="G212" s="16" t="inlineStr">
        <is>
          <t>2026-09-11</t>
        </is>
      </c>
      <c r="H212" s="16" t="inlineStr">
        <is>
          <t>实际</t>
        </is>
      </c>
      <c r="I212" s="16" t="inlineStr">
        <is>
          <t>熟练工约1200件/小时</t>
        </is>
      </c>
      <c r="J212" s="16" t="inlineStr"/>
      <c r="K212" s="16" t="inlineStr">
        <is>
          <t>物流分拣，不是汽车厂</t>
        </is>
      </c>
      <c r="L212" s="16" t="inlineStr">
        <is>
          <t>https://finance.sina.com.cn/stock/t/2026-09-11/doc-inirmvzu6833389.shtml</t>
        </is>
      </c>
      <c r="M212" s="16" t="inlineStr">
        <is>
          <t>中</t>
        </is>
      </c>
    </row>
    <row r="213">
      <c r="A213" s="16" t="inlineStr">
        <is>
          <t>R-44</t>
        </is>
      </c>
      <c r="B213" s="16" t="inlineStr">
        <is>
          <t>ROI</t>
        </is>
      </c>
      <c r="C213" s="16" t="inlineStr"/>
      <c r="D213" s="16" t="inlineStr">
        <is>
          <t>人工兜底</t>
        </is>
      </c>
      <c r="E213" s="16" t="inlineStr">
        <is>
          <t>班组还要保留原有人力兜底</t>
        </is>
      </c>
      <c r="F213" s="16" t="inlineStr">
        <is>
          <t>钛媒体</t>
        </is>
      </c>
      <c r="G213" s="16" t="inlineStr">
        <is>
          <t>2026-06-05</t>
        </is>
      </c>
      <c r="H213" s="16" t="inlineStr">
        <is>
          <t>定性</t>
        </is>
      </c>
      <c r="I213" s="16" t="inlineStr">
        <is>
          <t>—</t>
        </is>
      </c>
      <c r="J213" s="16" t="inlineStr"/>
      <c r="K213" s="16" t="inlineStr">
        <is>
          <t>定性描述</t>
        </is>
      </c>
      <c r="L213" s="16" t="inlineStr">
        <is>
          <t>同R-07</t>
        </is>
      </c>
      <c r="M213" s="16" t="inlineStr">
        <is>
          <t>中</t>
        </is>
      </c>
    </row>
    <row r="214">
      <c r="A214" s="16" t="inlineStr">
        <is>
          <t>R-45</t>
        </is>
      </c>
      <c r="B214" s="16" t="inlineStr">
        <is>
          <t>ROI</t>
        </is>
      </c>
      <c r="C214" s="16" t="inlineStr"/>
      <c r="D214" s="16" t="inlineStr">
        <is>
          <t>监管工程师配比</t>
        </is>
      </c>
      <c r="E214" s="16" t="inlineStr">
        <is>
          <t>一名工程师照看约四台机器人</t>
        </is>
      </c>
      <c r="F214" s="16" t="inlineStr">
        <is>
          <t>21经济网</t>
        </is>
      </c>
      <c r="G214" s="16" t="inlineStr">
        <is>
          <t>2026-10</t>
        </is>
      </c>
      <c r="H214" s="16" t="inlineStr">
        <is>
          <t>实际</t>
        </is>
      </c>
      <c r="I214" s="16" t="inlineStr">
        <is>
          <t>0.25人/台</t>
        </is>
      </c>
      <c r="J214" s="16" t="inlineStr">
        <is>
          <t>假设：监管工程师配比</t>
        </is>
      </c>
      <c r="K214" s="16" t="inlineStr">
        <is>
          <t>单一案例</t>
        </is>
      </c>
      <c r="L214" s="16" t="inlineStr">
        <is>
          <t>同R-30</t>
        </is>
      </c>
      <c r="M214" s="16" t="inlineStr">
        <is>
          <t>中</t>
        </is>
      </c>
    </row>
    <row r="215">
      <c r="A215" s="16" t="inlineStr">
        <is>
          <t>R-46</t>
        </is>
      </c>
      <c r="B215" s="16" t="inlineStr">
        <is>
          <t>ROI</t>
        </is>
      </c>
      <c r="C215" s="16" t="inlineStr"/>
      <c r="D215" s="16" t="inlineStr">
        <is>
          <t>换型调校人工</t>
        </is>
      </c>
      <c r="E215" s="16" t="inlineStr">
        <is>
          <t>换型后调校通常需要三名工程师两到三小时</t>
        </is>
      </c>
      <c r="F215" s="16" t="inlineStr">
        <is>
          <t>兆丰总经理孔辰寰</t>
        </is>
      </c>
      <c r="G215" s="16" t="inlineStr">
        <is>
          <t>2026-10</t>
        </is>
      </c>
      <c r="H215" s="16" t="inlineStr">
        <is>
          <t>实际</t>
        </is>
      </c>
      <c r="I215" s="16" t="inlineStr">
        <is>
          <t>每次6–9人·小时</t>
        </is>
      </c>
      <c r="J215" s="16" t="inlineStr"/>
      <c r="K215" s="16" t="inlineStr">
        <is>
          <t>换型频率未知</t>
        </is>
      </c>
      <c r="L215" s="16" t="inlineStr">
        <is>
          <t>同R-30</t>
        </is>
      </c>
      <c r="M215" s="16" t="inlineStr">
        <is>
          <t>中</t>
        </is>
      </c>
    </row>
    <row r="216">
      <c r="A216" s="16" t="inlineStr">
        <is>
          <t>R-47</t>
        </is>
      </c>
      <c r="B216" s="16" t="inlineStr">
        <is>
          <t>ROI</t>
        </is>
      </c>
      <c r="C216" s="16" t="inlineStr"/>
      <c r="D216" s="16" t="inlineStr">
        <is>
          <t>关节维修费</t>
        </is>
      </c>
      <c r="E216" s="16" t="inlineStr">
        <is>
          <t>髋关节谐波减速器坏了需换整个髋关节模组，费用两三万元</t>
        </is>
      </c>
      <c r="F216" s="16" t="inlineStr">
        <is>
          <t>行业文章（什么值得买）</t>
        </is>
      </c>
      <c r="G216" s="16" t="inlineStr">
        <is>
          <t>2026-10-19</t>
        </is>
      </c>
      <c r="H216" s="16" t="inlineStr">
        <is>
          <t>实际（个例）</t>
        </is>
      </c>
      <c r="I216" s="16" t="inlineStr">
        <is>
          <t>2–3万元/次</t>
        </is>
      </c>
      <c r="J216" s="16" t="inlineStr">
        <is>
          <t>假设：软件与维保年费（占初始投入）</t>
        </is>
      </c>
      <c r="K216" s="16" t="inlineStr">
        <is>
          <t>故障频率未知</t>
        </is>
      </c>
      <c r="L216" s="16" t="inlineStr">
        <is>
          <t>https://post.smzdm.com/p/ad7mz8zp/</t>
        </is>
      </c>
      <c r="M216" s="16" t="inlineStr">
        <is>
          <t>低</t>
        </is>
      </c>
    </row>
    <row r="217">
      <c r="A217" s="16" t="inlineStr">
        <is>
          <t>R-48</t>
        </is>
      </c>
      <c r="B217" s="16" t="inlineStr">
        <is>
          <t>ROI</t>
        </is>
      </c>
      <c r="C217" s="16" t="inlineStr"/>
      <c r="D217" s="16" t="inlineStr">
        <is>
          <t>维保费存在但未定价</t>
        </is>
      </c>
      <c r="E217" s="16" t="inlineStr">
        <is>
          <t>寿命约5年，后三年还要加维保费用</t>
        </is>
      </c>
      <c r="F217" s="16" t="inlineStr">
        <is>
          <t>乐聚CEO常琳</t>
        </is>
      </c>
      <c r="G217" s="16" t="inlineStr">
        <is>
          <t>2025-01-17</t>
        </is>
      </c>
      <c r="H217" s="16" t="inlineStr">
        <is>
          <t>定性</t>
        </is>
      </c>
      <c r="I217" s="16" t="inlineStr">
        <is>
          <t>金额未给</t>
        </is>
      </c>
      <c r="J217" s="16" t="inlineStr"/>
      <c r="K217" s="16" t="inlineStr">
        <is>
          <t>—</t>
        </is>
      </c>
      <c r="L217" s="16" t="inlineStr">
        <is>
          <t>https://www.21jingji.com/article/20250117/herald/d9c353c2e6ffecf1c82c2787b60824a2.html</t>
        </is>
      </c>
      <c r="M217" s="16" t="inlineStr">
        <is>
          <t>中高</t>
        </is>
      </c>
    </row>
    <row r="218">
      <c r="A218" s="16" t="inlineStr">
        <is>
          <t>R-49</t>
        </is>
      </c>
      <c r="B218" s="16" t="inlineStr">
        <is>
          <t>ROI</t>
        </is>
      </c>
      <c r="C218" s="16" t="inlineStr"/>
      <c r="D218" s="16" t="inlineStr">
        <is>
          <t>收费形态</t>
        </is>
      </c>
      <c r="E218" s="16" t="inlineStr">
        <is>
          <t>收入含项目实施费、调试费、运维费、持续优化费</t>
        </is>
      </c>
      <c r="F218" s="16" t="inlineStr">
        <is>
          <t>艾瑞咨询</t>
        </is>
      </c>
      <c r="G218" s="16" t="inlineStr">
        <is>
          <t>2026-07</t>
        </is>
      </c>
      <c r="H218" s="16" t="inlineStr">
        <is>
          <t>定性</t>
        </is>
      </c>
      <c r="I218" s="16" t="inlineStr">
        <is>
          <t>无金额</t>
        </is>
      </c>
      <c r="J218" s="16" t="inlineStr"/>
      <c r="K218" s="16" t="inlineStr">
        <is>
          <t>—</t>
        </is>
      </c>
      <c r="L218" s="16" t="inlineStr">
        <is>
          <t>本地：艾瑞咨询_中国工业具身智能行业发展研究报告_2026-07.pdf，第33页</t>
        </is>
      </c>
      <c r="M218" s="16" t="inlineStr">
        <is>
          <t>中</t>
        </is>
      </c>
    </row>
    <row r="219">
      <c r="A219" s="16" t="inlineStr">
        <is>
          <t>R-50</t>
        </is>
      </c>
      <c r="B219" s="16" t="inlineStr">
        <is>
          <t>ROI</t>
        </is>
      </c>
      <c r="C219" s="16" t="inlineStr"/>
      <c r="D219" s="16" t="inlineStr">
        <is>
          <t>【唯一海外参照】Agility Digit 费用结构</t>
        </is>
      </c>
      <c r="E219" s="16" t="inlineStr">
        <is>
          <t>本体约20万美元，部署约2万美元，软件和维护约3.6万美元/年；厂商自身维护交付成本约1.5万美元/年；按120小时/周、30.5美元/小时人工算，约1.1年回本</t>
        </is>
      </c>
      <c r="F219" s="16" t="inlineStr">
        <is>
          <t>Agility/Churchill XI SEC文件（虎嗅解读）</t>
        </is>
      </c>
      <c r="G219" s="16" t="inlineStr">
        <is>
          <t>2026-06/09</t>
        </is>
      </c>
      <c r="H219" s="16" t="inlineStr">
        <is>
          <t>测算（示意）</t>
        </is>
      </c>
      <c r="I219" s="16" t="inlineStr">
        <is>
          <t>软件维护费约为本体价的18%/年（厂商成本约7.5%）；部署费约10%</t>
        </is>
      </c>
      <c r="J219" s="16" t="inlineStr">
        <is>
          <t>假设：软件与维保年费（占初始投入）</t>
        </is>
      </c>
      <c r="K219" s="16" t="inlineStr">
        <is>
          <t>1.1年不计部署费和软件费，无效率折扣；美国口径</t>
        </is>
      </c>
      <c r="L219" s="16" t="inlineStr">
        <is>
          <t>https://www.sec.gov/Archives/edgar/data/0002074973/000121390026071290/ea029548401ex99-2.htm ；https://www.huxiu.com/article/4890385.html</t>
        </is>
      </c>
      <c r="M219" s="16" t="inlineStr">
        <is>
          <t>高（文件）/假设偏乐观</t>
        </is>
      </c>
    </row>
    <row r="220">
      <c r="A220" s="16" t="inlineStr">
        <is>
          <t>R-51</t>
        </is>
      </c>
      <c r="B220" s="16" t="inlineStr">
        <is>
          <t>ROI</t>
        </is>
      </c>
      <c r="C220" s="16" t="inlineStr"/>
      <c r="D220" s="16" t="inlineStr">
        <is>
          <t>能耗</t>
        </is>
      </c>
      <c r="E220" s="16" t="inlineStr">
        <is>
          <t>Walker S2 两块48V电池约2小时续航，推算约1kW</t>
        </is>
      </c>
      <c r="F220" s="16" t="inlineStr">
        <is>
          <t>二手拆解，作者推算</t>
        </is>
      </c>
      <c r="G220" s="16" t="inlineStr">
        <is>
          <t>2025–2026</t>
        </is>
      </c>
      <c r="H220" s="16" t="inlineStr">
        <is>
          <t>测算</t>
        </is>
      </c>
      <c r="I220" s="16" t="inlineStr">
        <is>
          <t>约1kWh/小时，电费约0.6–1元/小时</t>
        </is>
      </c>
      <c r="J220" s="16" t="inlineStr">
        <is>
          <t>假设：能耗</t>
        </is>
      </c>
      <c r="K220" s="16" t="inlineStr">
        <is>
          <t>电池容量为第三方数据</t>
        </is>
      </c>
      <c r="L220" s="16" t="inlineStr">
        <is>
          <t>https://www.leaderobot.com/news/5935</t>
        </is>
      </c>
      <c r="M220" s="16" t="inlineStr">
        <is>
          <t>低</t>
        </is>
      </c>
    </row>
    <row r="221">
      <c r="A221" s="16" t="inlineStr">
        <is>
          <t>R-52</t>
        </is>
      </c>
      <c r="B221" s="16" t="inlineStr">
        <is>
          <t>ROI</t>
        </is>
      </c>
      <c r="C221" s="16" t="inlineStr"/>
      <c r="D221" s="16" t="inlineStr">
        <is>
          <t>国内软件订阅费、年维保费率</t>
        </is>
      </c>
      <c r="E221" s="16" t="inlineStr">
        <is>
          <t>—</t>
        </is>
      </c>
      <c r="F221" s="16" t="inlineStr">
        <is>
          <t>—</t>
        </is>
      </c>
      <c r="G221" s="16" t="inlineStr">
        <is>
          <t>—</t>
        </is>
      </c>
      <c r="H221" s="16" t="inlineStr">
        <is>
          <t>—</t>
        </is>
      </c>
      <c r="I221" s="16" t="inlineStr">
        <is>
          <t>未找到</t>
        </is>
      </c>
      <c r="J221" s="16" t="inlineStr">
        <is>
          <t>假设：软件与维保年费（占初始投入）</t>
        </is>
      </c>
      <c r="K221" s="16" t="inlineStr">
        <is>
          <t>—</t>
        </is>
      </c>
      <c r="L221" s="16" t="inlineStr">
        <is>
          <t>—</t>
        </is>
      </c>
      <c r="M221" s="16" t="inlineStr">
        <is>
          <t>—</t>
        </is>
      </c>
    </row>
    <row r="222">
      <c r="A222" s="16" t="inlineStr">
        <is>
          <t>R-53</t>
        </is>
      </c>
      <c r="B222" s="16" t="inlineStr">
        <is>
          <t>ROI</t>
        </is>
      </c>
      <c r="C222" s="16" t="inlineStr"/>
      <c r="D222" s="16" t="inlineStr">
        <is>
          <t>保险费</t>
        </is>
      </c>
      <c r="E222" s="16" t="inlineStr">
        <is>
          <t>RaaS打包含保险（定性）</t>
        </is>
      </c>
      <c r="F222" s="16" t="inlineStr">
        <is>
          <t>财经网</t>
        </is>
      </c>
      <c r="G222" s="16" t="inlineStr">
        <is>
          <t>2026-10-19</t>
        </is>
      </c>
      <c r="H222" s="16" t="inlineStr">
        <is>
          <t>定性</t>
        </is>
      </c>
      <c r="I222" s="16" t="inlineStr">
        <is>
          <t>金额未找到</t>
        </is>
      </c>
      <c r="J222" s="16" t="inlineStr"/>
      <c r="K222" s="16" t="inlineStr">
        <is>
          <t>—</t>
        </is>
      </c>
      <c r="L222" s="16" t="inlineStr">
        <is>
          <t>同R-17</t>
        </is>
      </c>
      <c r="M222" s="16" t="inlineStr">
        <is>
          <t>中</t>
        </is>
      </c>
    </row>
    <row r="223">
      <c r="A223" s="16" t="inlineStr">
        <is>
          <t>R-54</t>
        </is>
      </c>
      <c r="B223" s="16" t="inlineStr">
        <is>
          <t>ROI</t>
        </is>
      </c>
      <c r="C223" s="16" t="inlineStr"/>
      <c r="D223" s="16" t="inlineStr">
        <is>
          <t>城镇非私营单位平均工资</t>
        </is>
      </c>
      <c r="E223" s="16" t="inlineStr">
        <is>
          <t>2025年全国城镇非私营单位年平均工资129441元</t>
        </is>
      </c>
      <c r="F223" s="16" t="inlineStr">
        <is>
          <t>国家统计局</t>
        </is>
      </c>
      <c r="G223" s="16" t="inlineStr">
        <is>
          <t>2026-05-15</t>
        </is>
      </c>
      <c r="H223" s="16" t="inlineStr">
        <is>
          <t>实际</t>
        </is>
      </c>
      <c r="I223" s="16" t="inlineStr">
        <is>
          <t>12.94万元</t>
        </is>
      </c>
      <c r="J223" s="16" t="inlineStr"/>
      <c r="K223" s="16" t="inlineStr">
        <is>
          <t>全行业</t>
        </is>
      </c>
      <c r="L223" s="16" t="inlineStr">
        <is>
          <t>https://www.stats.gov.cn/sj/zxfb/202605/t20260515_1963707.html</t>
        </is>
      </c>
      <c r="M223" s="16" t="inlineStr">
        <is>
          <t>高</t>
        </is>
      </c>
    </row>
    <row r="224">
      <c r="A224" s="16" t="inlineStr">
        <is>
          <t>R-55</t>
        </is>
      </c>
      <c r="B224" s="16" t="inlineStr">
        <is>
          <t>ROI</t>
        </is>
      </c>
      <c r="C224" s="16" t="inlineStr"/>
      <c r="D224" s="16" t="inlineStr">
        <is>
          <t>制造业非私营单位平均工资</t>
        </is>
      </c>
      <c r="E224" s="16" t="inlineStr">
        <is>
          <t>制造业113594元，增长5.2%</t>
        </is>
      </c>
      <c r="F224" s="16" t="inlineStr">
        <is>
          <t>国家统计局</t>
        </is>
      </c>
      <c r="G224" s="16" t="inlineStr">
        <is>
          <t>2026-05-15</t>
        </is>
      </c>
      <c r="H224" s="16" t="inlineStr">
        <is>
          <t>实际</t>
        </is>
      </c>
      <c r="I224" s="16" t="inlineStr">
        <is>
          <t>11.36万元</t>
        </is>
      </c>
      <c r="J224" s="16" t="inlineStr">
        <is>
          <t>假设：单人年综合用工成本；假设：工程师年综合成本</t>
        </is>
      </c>
      <c r="K224" s="16" t="inlineStr">
        <is>
          <t>含管理和技术岗位</t>
        </is>
      </c>
      <c r="L224" s="16" t="inlineStr">
        <is>
          <t>同上</t>
        </is>
      </c>
      <c r="M224" s="16" t="inlineStr">
        <is>
          <t>高</t>
        </is>
      </c>
    </row>
    <row r="225">
      <c r="A225" s="16" t="inlineStr">
        <is>
          <t>R-56</t>
        </is>
      </c>
      <c r="B225" s="16" t="inlineStr">
        <is>
          <t>ROI</t>
        </is>
      </c>
      <c r="C225" s="16" t="inlineStr"/>
      <c r="D225" s="16" t="inlineStr">
        <is>
          <t>制造业私营单位平均工资</t>
        </is>
      </c>
      <c r="E225" s="16" t="inlineStr">
        <is>
          <t>私营单位制造业76055元，增长6.4%</t>
        </is>
      </c>
      <c r="F225" s="16" t="inlineStr">
        <is>
          <t>国家统计局</t>
        </is>
      </c>
      <c r="G225" s="16" t="inlineStr">
        <is>
          <t>2026-05-15</t>
        </is>
      </c>
      <c r="H225" s="16" t="inlineStr">
        <is>
          <t>实际</t>
        </is>
      </c>
      <c r="I225" s="16" t="inlineStr">
        <is>
          <t>7.61万元</t>
        </is>
      </c>
      <c r="J225" s="16" t="inlineStr"/>
      <c r="K225" s="16" t="inlineStr">
        <is>
          <t>需核原表</t>
        </is>
      </c>
      <c r="L225" s="16" t="inlineStr">
        <is>
          <t>同上</t>
        </is>
      </c>
      <c r="M225" s="16" t="inlineStr">
        <is>
          <t>中高</t>
        </is>
      </c>
    </row>
    <row r="226">
      <c r="A226" s="16" t="inlineStr">
        <is>
          <t>R-57</t>
        </is>
      </c>
      <c r="B226" s="16" t="inlineStr">
        <is>
          <t>ROI</t>
        </is>
      </c>
      <c r="C226" s="16" t="inlineStr"/>
      <c r="D226" s="16" t="inlineStr">
        <is>
          <t>规上企业生产制造人员工资</t>
        </is>
      </c>
      <c r="E226" s="16" t="inlineStr">
        <is>
          <t>生产制造及有关人员80739元</t>
        </is>
      </c>
      <c r="F226" s="16" t="inlineStr">
        <is>
          <t>国家统计局</t>
        </is>
      </c>
      <c r="G226" s="16" t="inlineStr">
        <is>
          <t>2026-05-15</t>
        </is>
      </c>
      <c r="H226" s="16" t="inlineStr">
        <is>
          <t>实际</t>
        </is>
      </c>
      <c r="I226" s="16" t="inlineStr">
        <is>
          <t>8.07万元</t>
        </is>
      </c>
      <c r="J226" s="16" t="inlineStr">
        <is>
          <t>假设：单人年综合用工成本</t>
        </is>
      </c>
      <c r="K226" s="16" t="inlineStr">
        <is>
          <t>全行业一线，非汽车专属</t>
        </is>
      </c>
      <c r="L226" s="16" t="inlineStr">
        <is>
          <t>https://www.stats.gov.cn/zs/tjwh/tjkw/tjqk/zgxxb/202605/P020260519307748967261.pdf</t>
        </is>
      </c>
      <c r="M226" s="16" t="inlineStr">
        <is>
          <t>高</t>
        </is>
      </c>
    </row>
    <row r="227">
      <c r="A227" s="16" t="inlineStr">
        <is>
          <t>R-58</t>
        </is>
      </c>
      <c r="B227" s="16" t="inlineStr">
        <is>
          <t>ROI</t>
        </is>
      </c>
      <c r="C227" s="16" t="inlineStr"/>
      <c r="D227" s="16" t="inlineStr">
        <is>
          <t>汽车行业薪酬中位数</t>
        </is>
      </c>
      <c r="E227" s="16" t="inlineStr">
        <is>
          <t>汽车行业从业人员薪酬中位数7.31万元/年</t>
        </is>
      </c>
      <c r="F227" s="16" t="inlineStr">
        <is>
          <t>人社部《企业薪酬调查信息（2025年）》（GGII转引）</t>
        </is>
      </c>
      <c r="G227" s="16" t="inlineStr">
        <is>
          <t>2026-09</t>
        </is>
      </c>
      <c r="H227" s="16" t="inlineStr">
        <is>
          <t>实际</t>
        </is>
      </c>
      <c r="I227" s="16" t="inlineStr">
        <is>
          <t>7.31万元</t>
        </is>
      </c>
      <c r="J227" s="16" t="inlineStr">
        <is>
          <t>假设：单人年综合用工成本</t>
        </is>
      </c>
      <c r="K227" s="16" t="inlineStr">
        <is>
          <t>二手引用，未核原文</t>
        </is>
      </c>
      <c r="L227" s="16" t="inlineStr">
        <is>
          <t>本地：高工咨询GGII_中国工业具身智能产业发展蓝皮书_2026-09.pdf，PDF第128页（印刷页118）</t>
        </is>
      </c>
      <c r="M227" s="16" t="inlineStr">
        <is>
          <t>中高</t>
        </is>
      </c>
    </row>
    <row r="228">
      <c r="A228" s="16" t="inlineStr">
        <is>
          <t>R-59</t>
        </is>
      </c>
      <c r="B228" s="16" t="inlineStr">
        <is>
          <t>ROI</t>
        </is>
      </c>
      <c r="C228" s="16" t="inlineStr"/>
      <c r="D228" s="16" t="inlineStr">
        <is>
          <t>工厂普工综合成本（案例）</t>
        </is>
      </c>
      <c r="E228" s="16" t="inlineStr">
        <is>
          <t>苏州亨通工厂普通工人一年综合成本为14万元</t>
        </is>
      </c>
      <c r="F228" s="16" t="inlineStr">
        <is>
          <t>乐聚CEO常琳</t>
        </is>
      </c>
      <c r="G228" s="16" t="inlineStr">
        <is>
          <t>2025-01-17</t>
        </is>
      </c>
      <c r="H228" s="16" t="inlineStr">
        <is>
          <t>实际（案例）</t>
        </is>
      </c>
      <c r="I228" s="16" t="inlineStr">
        <is>
          <t>14万元</t>
        </is>
      </c>
      <c r="J228" s="16" t="inlineStr">
        <is>
          <t>假设：计划工时；假设：单人年综合用工成本</t>
        </is>
      </c>
      <c r="K228" s="16" t="inlineStr">
        <is>
          <t>单厂案例，厂商口径</t>
        </is>
      </c>
      <c r="L228" s="16" t="inlineStr">
        <is>
          <t>同R-48</t>
        </is>
      </c>
      <c r="M228" s="16" t="inlineStr">
        <is>
          <t>中</t>
        </is>
      </c>
    </row>
    <row r="229">
      <c r="A229" s="16" t="inlineStr">
        <is>
          <t>R-60</t>
        </is>
      </c>
      <c r="B229" s="16" t="inlineStr">
        <is>
          <t>ROI</t>
        </is>
      </c>
      <c r="C229" s="16" t="inlineStr"/>
      <c r="D229" s="16" t="inlineStr">
        <is>
          <t>一线工人成本常用估算</t>
        </is>
      </c>
      <c r="E229" s="16" t="inlineStr">
        <is>
          <t>年薪8万–10万元的产线工人</t>
        </is>
      </c>
      <c r="F229" s="16" t="inlineStr">
        <is>
          <t>汽车商业评论</t>
        </is>
      </c>
      <c r="G229" s="16" t="inlineStr">
        <is>
          <t>2026-03</t>
        </is>
      </c>
      <c r="H229" s="16" t="inlineStr">
        <is>
          <t>测算</t>
        </is>
      </c>
      <c r="I229" s="16" t="inlineStr">
        <is>
          <t>8–10万元</t>
        </is>
      </c>
      <c r="J229" s="16" t="inlineStr"/>
      <c r="K229" s="16" t="inlineStr">
        <is>
          <t>媒体估算</t>
        </is>
      </c>
      <c r="L229" s="16" t="inlineStr">
        <is>
          <t>https://www.huxiu.com/article/4843723.html</t>
        </is>
      </c>
      <c r="M229" s="16" t="inlineStr">
        <is>
          <t>中</t>
        </is>
      </c>
    </row>
    <row r="230">
      <c r="A230" s="16" t="inlineStr">
        <is>
          <t>R-61</t>
        </is>
      </c>
      <c r="B230" s="16" t="inlineStr">
        <is>
          <t>ROI</t>
        </is>
      </c>
      <c r="C230" s="16" t="inlineStr"/>
      <c r="D230" s="16" t="inlineStr">
        <is>
          <t>企业社保公积金负担</t>
        </is>
      </c>
      <c r="E230" s="16" t="inlineStr">
        <is>
          <t>单位缴费：养老16%、医疗约9%–10%等，合计约26%–38%</t>
        </is>
      </c>
      <c r="F230" s="16" t="inlineStr">
        <is>
          <t>政策汇总</t>
        </is>
      </c>
      <c r="G230" s="16" t="inlineStr">
        <is>
          <t>2025–2026</t>
        </is>
      </c>
      <c r="H230" s="16" t="inlineStr">
        <is>
          <t>实际（费率）</t>
        </is>
      </c>
      <c r="I230" s="16" t="inlineStr">
        <is>
          <t>用工成本约为工资的1.3–1.39倍</t>
        </is>
      </c>
      <c r="J230" s="16" t="inlineStr">
        <is>
          <t>假设：单人年综合用工成本</t>
        </is>
      </c>
      <c r="K230" s="16" t="inlineStr">
        <is>
          <t>各地缴费基数和比例不同</t>
        </is>
      </c>
      <c r="L230" s="16" t="inlineStr">
        <is>
          <t>https://www.chinaacc.com/kuaijishiwu/krky/zh20250228112717.shtml</t>
        </is>
      </c>
      <c r="M230" s="16" t="inlineStr">
        <is>
          <t>中</t>
        </is>
      </c>
    </row>
    <row r="231">
      <c r="A231" s="16" t="inlineStr">
        <is>
          <t>R-62</t>
        </is>
      </c>
      <c r="B231" s="16" t="inlineStr">
        <is>
          <t>ROI</t>
        </is>
      </c>
      <c r="C231" s="16" t="inlineStr"/>
      <c r="D231" s="16" t="inlineStr">
        <is>
          <t>实缴情况</t>
        </is>
      </c>
      <c r="E231" s="16" t="inlineStr">
        <is>
          <t>按60%基数缴纳时，五险约占用工成本的25%</t>
        </is>
      </c>
      <c r="F231" s="16" t="inlineStr">
        <is>
          <t>浙江民企负责人</t>
        </is>
      </c>
      <c r="G231" s="16" t="inlineStr">
        <is>
          <t>较早</t>
        </is>
      </c>
      <c r="H231" s="16" t="inlineStr">
        <is>
          <t>实际（个案）</t>
        </is>
      </c>
      <c r="I231" s="16" t="inlineStr">
        <is>
          <t>约25%</t>
        </is>
      </c>
      <c r="J231" s="16" t="inlineStr"/>
      <c r="K231" s="16" t="inlineStr">
        <is>
          <t>年份较早</t>
        </is>
      </c>
      <c r="L231" s="16" t="inlineStr">
        <is>
          <t>http://www.chinareform.net/plus/view.php?aid=4118</t>
        </is>
      </c>
      <c r="M231" s="16" t="inlineStr">
        <is>
          <t>低</t>
        </is>
      </c>
    </row>
    <row r="232">
      <c r="A232" s="16" t="inlineStr">
        <is>
          <t>R-63</t>
        </is>
      </c>
      <c r="B232" s="16" t="inlineStr">
        <is>
          <t>ROI</t>
        </is>
      </c>
      <c r="C232" s="16" t="inlineStr"/>
      <c r="D232" s="16" t="inlineStr">
        <is>
          <t>汽车厂班次与年工时</t>
        </is>
      </c>
      <c r="E232" s="16" t="inlineStr">
        <is>
          <t>年生产天数一般按251天；单班8小时，双班16小时，三班22.5小时</t>
        </is>
      </c>
      <c r="F232" s="16" t="inlineStr">
        <is>
          <t>太平洋汽车（JPH公式）</t>
        </is>
      </c>
      <c r="G232" s="16" t="inlineStr">
        <is>
          <t>—</t>
        </is>
      </c>
      <c r="H232" s="16" t="inlineStr">
        <is>
          <t>行业惯例</t>
        </is>
      </c>
      <c r="I232" s="16" t="inlineStr">
        <is>
          <t>251天；8/16/22.5小时</t>
        </is>
      </c>
      <c r="J232" s="16" t="inlineStr">
        <is>
          <t>假设：计划工时</t>
        </is>
      </c>
      <c r="K232" s="16" t="inlineStr">
        <is>
          <t>非官方标准</t>
        </is>
      </c>
      <c r="L232" s="16" t="inlineStr">
        <is>
          <t>https://www.pcauto.com.cn/jxwd/4478/44785417.html</t>
        </is>
      </c>
      <c r="M232" s="16" t="inlineStr">
        <is>
          <t>中</t>
        </is>
      </c>
    </row>
    <row r="233">
      <c r="A233" s="16" t="inlineStr">
        <is>
          <t>R-64</t>
        </is>
      </c>
      <c r="B233" s="16" t="inlineStr">
        <is>
          <t>ROI</t>
        </is>
      </c>
      <c r="C233" s="16" t="inlineStr"/>
      <c r="D233" s="16" t="inlineStr">
        <is>
          <t>焊装线规划工作制</t>
        </is>
      </c>
      <c r="E233" s="16" t="inlineStr">
        <is>
          <t>按250天×8小时计算单班产能</t>
        </is>
      </c>
      <c r="F233" s="16" t="inlineStr">
        <is>
          <t>行业技术文章</t>
        </is>
      </c>
      <c r="G233" s="16" t="inlineStr">
        <is>
          <t>2019</t>
        </is>
      </c>
      <c r="H233" s="16" t="inlineStr">
        <is>
          <t>行业惯例</t>
        </is>
      </c>
      <c r="I233" s="16" t="inlineStr">
        <is>
          <t>250天</t>
        </is>
      </c>
      <c r="J233" s="16" t="inlineStr">
        <is>
          <t>假设：计划工时；假设：单人年工时</t>
        </is>
      </c>
      <c r="K233" s="16" t="inlineStr">
        <is>
          <t>年代较早</t>
        </is>
      </c>
      <c r="L233" s="16" t="inlineStr">
        <is>
          <t>https://auto.jgvogel.cn/c/2019-10-23/583437.shtml</t>
        </is>
      </c>
      <c r="M233" s="16" t="inlineStr">
        <is>
          <t>中</t>
        </is>
      </c>
    </row>
    <row r="234">
      <c r="A234" s="16" t="inlineStr">
        <is>
          <t>R-65</t>
        </is>
      </c>
      <c r="B234" s="16" t="inlineStr">
        <is>
          <t>ROI</t>
        </is>
      </c>
      <c r="C234" s="16" t="inlineStr"/>
      <c r="D234" s="16" t="inlineStr">
        <is>
          <t>零部件厂工作制</t>
        </is>
      </c>
      <c r="E234" s="16" t="inlineStr">
        <is>
          <t>生产部门两班制，每班8小时，全年240天；另有三班制、300天的写法</t>
        </is>
      </c>
      <c r="F234" s="16" t="inlineStr">
        <is>
          <t>环评文件</t>
        </is>
      </c>
      <c r="G234" s="16" t="inlineStr">
        <is>
          <t>2025</t>
        </is>
      </c>
      <c r="H234" s="16" t="inlineStr">
        <is>
          <t>实际（个案）</t>
        </is>
      </c>
      <c r="I234" s="16" t="inlineStr">
        <is>
          <t>两班16小时/天</t>
        </is>
      </c>
      <c r="J234" s="16" t="inlineStr"/>
      <c r="K234" s="16" t="inlineStr">
        <is>
          <t>零部件厂个案</t>
        </is>
      </c>
      <c r="L234" s="16" t="inlineStr">
        <is>
          <t>https://www.fuzhou.gov.cn/zgfzzt/shbj/xxgk/spgs/202509/P020250922529630533862.pdf</t>
        </is>
      </c>
      <c r="M234" s="16" t="inlineStr">
        <is>
          <t>中</t>
        </is>
      </c>
    </row>
    <row r="235">
      <c r="A235" s="16" t="inlineStr">
        <is>
          <t>R-66</t>
        </is>
      </c>
      <c r="B235" s="16" t="inlineStr">
        <is>
          <t>ROI</t>
        </is>
      </c>
      <c r="C235" s="16" t="inlineStr"/>
      <c r="D235" s="16" t="inlineStr">
        <is>
          <t>乐聚测算（亨通案例）</t>
        </is>
      </c>
      <c r="E235" s="16" t="inlineStr">
        <is>
          <t>效率约人的一半，每日工作16小时，两年使用成本与人力拉平</t>
        </is>
      </c>
      <c r="F235" s="16" t="inlineStr">
        <is>
          <t>乐聚CEO常琳</t>
        </is>
      </c>
      <c r="G235" s="16" t="inlineStr">
        <is>
          <t>2025-01-17</t>
        </is>
      </c>
      <c r="H235" s="16" t="inlineStr">
        <is>
          <t>测算</t>
        </is>
      </c>
      <c r="I235" s="16" t="inlineStr">
        <is>
          <t>约2年拉平</t>
        </is>
      </c>
      <c r="J235" s="16" t="inlineStr">
        <is>
          <t>假设：相对人工作业速度</t>
        </is>
      </c>
      <c r="K235" s="16" t="inlineStr">
        <is>
          <t>计了效率折扣（0.5）；售价未披露；维保费另计，未纳入</t>
        </is>
      </c>
      <c r="L235" s="16" t="inlineStr">
        <is>
          <t>同R-48</t>
        </is>
      </c>
      <c r="M235" s="16" t="inlineStr">
        <is>
          <t>中</t>
        </is>
      </c>
    </row>
    <row r="236">
      <c r="A236" s="16" t="inlineStr">
        <is>
          <t>R-67</t>
        </is>
      </c>
      <c r="B236" s="16" t="inlineStr">
        <is>
          <t>ROI</t>
        </is>
      </c>
      <c r="C236" s="16" t="inlineStr"/>
      <c r="D236" s="16" t="inlineStr">
        <is>
          <t>兆丰自测（近20台）</t>
        </is>
      </c>
      <c r="E236" s="16" t="inlineStr">
        <is>
          <t>企业初步测算两到三年内可回本</t>
        </is>
      </c>
      <c r="F236" s="16" t="inlineStr">
        <is>
          <t>中新网、路透（转述）</t>
        </is>
      </c>
      <c r="G236" s="16" t="inlineStr">
        <is>
          <t>2026-10-13</t>
        </is>
      </c>
      <c r="H236" s="16" t="inlineStr">
        <is>
          <t>测算（客户自报）</t>
        </is>
      </c>
      <c r="I236" s="16" t="inlineStr">
        <is>
          <t>2–3年</t>
        </is>
      </c>
      <c r="J236" s="16" t="inlineStr"/>
      <c r="K236" s="16" t="inlineStr">
        <is>
          <t>价格未披露；董事长称最初没有计算采购成本</t>
        </is>
      </c>
      <c r="L236" s="16" t="inlineStr">
        <is>
          <t>https://www.chinanews.com.cn/tp/2026/10-13/10714034.shtml</t>
        </is>
      </c>
      <c r="M236" s="16" t="inlineStr">
        <is>
          <t>中</t>
        </is>
      </c>
    </row>
    <row r="237">
      <c r="A237" s="16" t="inlineStr">
        <is>
          <t>R-68</t>
        </is>
      </c>
      <c r="B237" s="16" t="inlineStr">
        <is>
          <t>ROI</t>
        </is>
      </c>
      <c r="C237" s="16" t="inlineStr"/>
      <c r="D237" s="16" t="inlineStr">
        <is>
          <t>兆丰另一口径</t>
        </is>
      </c>
      <c r="E237" s="16" t="inlineStr">
        <is>
          <t>单趟压到15秒后，参照人工成本约3到4年见回报；另一报道称回收期可能为三年</t>
        </is>
      </c>
      <c r="F237" s="16" t="inlineStr">
        <is>
          <t>21财经</t>
        </is>
      </c>
      <c r="G237" s="16" t="inlineStr">
        <is>
          <t>2026-10-19</t>
        </is>
      </c>
      <c r="H237" s="16" t="inlineStr">
        <is>
          <t>测算</t>
        </is>
      </c>
      <c r="I237" s="16" t="inlineStr">
        <is>
          <t>3–4年</t>
        </is>
      </c>
      <c r="J237" s="16" t="inlineStr"/>
      <c r="K237" s="16" t="inlineStr">
        <is>
          <t>以节拍提速为前提</t>
        </is>
      </c>
      <c r="L237" s="16" t="inlineStr">
        <is>
          <t>同R-30；https://post.smzdm.com/p/ad7mz8zp/</t>
        </is>
      </c>
      <c r="M237" s="16" t="inlineStr">
        <is>
          <t>中</t>
        </is>
      </c>
    </row>
    <row r="238">
      <c r="A238" s="16" t="inlineStr">
        <is>
          <t>R-69</t>
        </is>
      </c>
      <c r="B238" s="16" t="inlineStr">
        <is>
          <t>ROI</t>
        </is>
      </c>
      <c r="C238" s="16" t="inlineStr"/>
      <c r="D238" s="16" t="inlineStr">
        <is>
          <t>GGII 汽车行业年 ROI</t>
        </is>
      </c>
      <c r="E238" s="16" t="inlineStr">
        <is>
          <t>2025年汽车行业年ROI约0.8，2030年升至1</t>
        </is>
      </c>
      <c r="F238" s="16" t="inlineStr">
        <is>
          <t>GGII</t>
        </is>
      </c>
      <c r="G238" s="16" t="inlineStr">
        <is>
          <t>2026-09</t>
        </is>
      </c>
      <c r="H238" s="16" t="inlineStr">
        <is>
          <t>测算</t>
        </is>
      </c>
      <c r="I238" s="16" t="inlineStr">
        <is>
          <t>0.8（2025年）</t>
        </is>
      </c>
      <c r="J238" s="16" t="inlineStr"/>
      <c r="K238" s="16" t="inlineStr">
        <is>
          <t>未定义ROI，疑似为单台年产出÷年人工成本；用于市场规模测算</t>
        </is>
      </c>
      <c r="L238" s="16" t="inlineStr">
        <is>
          <t>本地：高工咨询GGII_中国工业具身智能产业发展蓝皮书_2026-09.pdf，PDF第128页（印刷页118）</t>
        </is>
      </c>
      <c r="M238" s="16" t="inlineStr">
        <is>
          <t>中</t>
        </is>
      </c>
    </row>
    <row r="239">
      <c r="A239" s="16" t="inlineStr">
        <is>
          <t>R-70</t>
        </is>
      </c>
      <c r="B239" s="16" t="inlineStr">
        <is>
          <t>ROI</t>
        </is>
      </c>
      <c r="C239" s="16" t="inlineStr"/>
      <c r="D239" s="16" t="inlineStr">
        <is>
          <t>伯恩斯坦（中国）</t>
        </is>
      </c>
      <c r="E239" s="16" t="inlineStr">
        <is>
          <t>工厂物料搬运与巡检回本：中国约6.7年（美国约2.7年）；2.5年为采购临界点，中国价格需再降30%–50%</t>
        </is>
      </c>
      <c r="F239" s="16" t="inlineStr">
        <is>
          <t>伯恩斯坦（机器人大讲堂转述）</t>
        </is>
      </c>
      <c r="G239" s="16" t="inlineStr">
        <is>
          <t>2026-08</t>
        </is>
      </c>
      <c r="H239" s="16" t="inlineStr">
        <is>
          <t>测算</t>
        </is>
      </c>
      <c r="I239" s="16" t="inlineStr">
        <is>
          <t>中国约6.7年</t>
        </is>
      </c>
      <c r="J239" s="16" t="inlineStr"/>
      <c r="K239" s="16" t="inlineStr">
        <is>
          <t>价格、工时、效率、运维假设均未披露</t>
        </is>
      </c>
      <c r="L239" s="16" t="inlineStr">
        <is>
          <t>https://www.leaderobot.com/news/9401</t>
        </is>
      </c>
      <c r="M239" s="16" t="inlineStr">
        <is>
          <t>中</t>
        </is>
      </c>
    </row>
    <row r="240">
      <c r="A240" s="16" t="inlineStr">
        <is>
          <t>R-71</t>
        </is>
      </c>
      <c r="B240" s="16" t="inlineStr">
        <is>
          <t>ROI</t>
        </is>
      </c>
      <c r="C240" s="16" t="inlineStr"/>
      <c r="D240" s="16" t="inlineStr">
        <is>
          <t>两年回本门槛</t>
        </is>
      </c>
      <c r="E240" s="16" t="inlineStr">
        <is>
          <t>替代年薪8万元工人、两年回本，综合成本需降到约16万元</t>
        </is>
      </c>
      <c r="F240" s="16" t="inlineStr">
        <is>
          <t>行业测算（什么值得买）</t>
        </is>
      </c>
      <c r="G240" s="16" t="inlineStr">
        <is>
          <t>2026-10-19</t>
        </is>
      </c>
      <c r="H240" s="16" t="inlineStr">
        <is>
          <t>测算</t>
        </is>
      </c>
      <c r="I240" s="16" t="inlineStr">
        <is>
          <t>16万元</t>
        </is>
      </c>
      <c r="J240" s="16" t="inlineStr"/>
      <c r="K240" s="16" t="inlineStr">
        <is>
          <t>隐含1:1替代，不计运维</t>
        </is>
      </c>
      <c r="L240" s="16" t="inlineStr">
        <is>
          <t>https://post.smzdm.com/p/ad7mz8zp/</t>
        </is>
      </c>
      <c r="M240" s="16" t="inlineStr">
        <is>
          <t>低</t>
        </is>
      </c>
    </row>
    <row r="241">
      <c r="A241" s="16" t="inlineStr">
        <is>
          <t>R-72</t>
        </is>
      </c>
      <c r="B241" s="16" t="inlineStr">
        <is>
          <t>ROI</t>
        </is>
      </c>
      <c r="C241" s="16" t="inlineStr"/>
      <c r="D241" s="16" t="inlineStr">
        <is>
          <t>汽车商业评论门槛</t>
        </is>
      </c>
      <c r="E241" s="16" t="inlineStr">
        <is>
          <t>替代8–10万元工人、寿命3–5年，采购价需控制在15–20万元以内</t>
        </is>
      </c>
      <c r="F241" s="16" t="inlineStr">
        <is>
          <t>汽车商业评论</t>
        </is>
      </c>
      <c r="G241" s="16" t="inlineStr">
        <is>
          <t>2026-03</t>
        </is>
      </c>
      <c r="H241" s="16" t="inlineStr">
        <is>
          <t>测算</t>
        </is>
      </c>
      <c r="I241" s="16" t="inlineStr">
        <is>
          <t>15–20万元</t>
        </is>
      </c>
      <c r="J241" s="16" t="inlineStr"/>
      <c r="K241" s="16" t="inlineStr">
        <is>
          <t>隐含1:1替代</t>
        </is>
      </c>
      <c r="L241" s="16" t="inlineStr">
        <is>
          <t>https://www.huxiu.com/article/4843723.html</t>
        </is>
      </c>
      <c r="M241" s="16" t="inlineStr">
        <is>
          <t>中</t>
        </is>
      </c>
    </row>
    <row r="242">
      <c r="A242" s="16" t="inlineStr">
        <is>
          <t>R-73</t>
        </is>
      </c>
      <c r="B242" s="16" t="inlineStr">
        <is>
          <t>ROI</t>
        </is>
      </c>
      <c r="C242" s="16" t="inlineStr"/>
      <c r="D242" s="16" t="inlineStr">
        <is>
          <t>东风柳汽降本缺口</t>
        </is>
      </c>
      <c r="E242" s="16" t="inlineStr">
        <is>
          <t>成本需从六七十万降到25万左右，即降约60%</t>
        </is>
      </c>
      <c r="F242" s="16" t="inlineStr">
        <is>
          <t>东风柳汽相关负责人</t>
        </is>
      </c>
      <c r="G242" s="16" t="inlineStr">
        <is>
          <t>2026-08-12</t>
        </is>
      </c>
      <c r="H242" s="16" t="inlineStr">
        <is>
          <t>测算</t>
        </is>
      </c>
      <c r="I242" s="16" t="inlineStr">
        <is>
          <t>降约60%</t>
        </is>
      </c>
      <c r="J242" s="16" t="inlineStr"/>
      <c r="K242" s="16" t="inlineStr">
        <is>
          <t>结合"半个工人"的效率口径</t>
        </is>
      </c>
      <c r="L242" s="16" t="inlineStr">
        <is>
          <t>https://www.huxiu.com/article/4882514.html</t>
        </is>
      </c>
      <c r="M242" s="16" t="inlineStr">
        <is>
          <t>中</t>
        </is>
      </c>
    </row>
    <row r="243">
      <c r="A243" s="16" t="inlineStr">
        <is>
          <t>R-74</t>
        </is>
      </c>
      <c r="B243" s="16" t="inlineStr">
        <is>
          <t>ROI</t>
        </is>
      </c>
      <c r="C243" s="16" t="inlineStr"/>
      <c r="D243" s="16" t="inlineStr">
        <is>
          <t>两班制模型</t>
        </is>
      </c>
      <c r="E243" s="16" t="inlineStr">
        <is>
          <t>40万元/台、每年5200小时、效率80%，静态回收期24个月</t>
        </is>
      </c>
      <c r="F243" s="16" t="inlineStr">
        <is>
          <t>知乎作者</t>
        </is>
      </c>
      <c r="G243" s="16" t="inlineStr">
        <is>
          <t>2026</t>
        </is>
      </c>
      <c r="H243" s="16" t="inlineStr">
        <is>
          <t>测算</t>
        </is>
      </c>
      <c r="I243" s="16" t="inlineStr">
        <is>
          <t>2年</t>
        </is>
      </c>
      <c r="J243" s="16" t="inlineStr"/>
      <c r="K243" s="16" t="inlineStr">
        <is>
          <t>出处不明；效率假设偏高</t>
        </is>
      </c>
      <c r="L243" s="16" t="inlineStr">
        <is>
          <t>https://zhuanlan.zhihu.com/p/81664206693</t>
        </is>
      </c>
      <c r="M243" s="16" t="inlineStr">
        <is>
          <t>低</t>
        </is>
      </c>
    </row>
    <row r="244">
      <c r="A244" s="16" t="inlineStr">
        <is>
          <t>R-75</t>
        </is>
      </c>
      <c r="B244" s="16" t="inlineStr">
        <is>
          <t>ROI</t>
        </is>
      </c>
      <c r="C244" s="16" t="inlineStr"/>
      <c r="D244" s="16" t="inlineStr">
        <is>
          <t>灼识：班次与替代</t>
        </is>
      </c>
      <c r="E244" s="16" t="inlineStr">
        <is>
          <t>效率为人工50%时，24小时运营可等效替代1.5班人</t>
        </is>
      </c>
      <c r="F244" s="16" t="inlineStr">
        <is>
          <t>灼识咨询</t>
        </is>
      </c>
      <c r="G244" s="16" t="inlineStr">
        <is>
          <t>2026-09</t>
        </is>
      </c>
      <c r="H244" s="16" t="inlineStr">
        <is>
          <t>测算</t>
        </is>
      </c>
      <c r="I244" s="16" t="inlineStr">
        <is>
          <t>0.5×3班=1.5人</t>
        </is>
      </c>
      <c r="J244" s="16" t="inlineStr"/>
      <c r="K244" s="16" t="inlineStr">
        <is>
          <t>零售药房场景</t>
        </is>
      </c>
      <c r="L244" s="16" t="inlineStr">
        <is>
          <t>本地：灼识咨询_具身智能大脑行业白皮书_2026-09.pdf，第28页</t>
        </is>
      </c>
      <c r="M244" s="16" t="inlineStr">
        <is>
          <t>中</t>
        </is>
      </c>
    </row>
    <row r="245">
      <c r="A245" s="16" t="inlineStr">
        <is>
          <t>F-01</t>
        </is>
      </c>
      <c r="B245" s="16" t="inlineStr">
        <is>
          <t>估值</t>
        </is>
      </c>
      <c r="C245" s="16" t="inlineStr">
        <is>
          <t>柯力传感</t>
        </is>
      </c>
      <c r="D245" s="16" t="inlineStr">
        <is>
          <t>总市值（统一行情日）</t>
        </is>
      </c>
      <c r="E245" s="16" t="inlineStr">
        <is>
          <t>603662.SH 2026-10-19 不复权收盘价 43.53 元 × 总股本 280,829,868 股 = 总市值 12,224,524,154.04 元；接口返回总市值与自算一致</t>
        </is>
      </c>
      <c r="F245" s="16" t="inlineStr">
        <is>
          <t>Findesk API（底层为同花顺 iFinD 数据），2026-10-20 查询</t>
        </is>
      </c>
      <c r="G245" s="16" t="inlineStr">
        <is>
          <t>2026-10-19 收盘</t>
        </is>
      </c>
      <c r="H245" s="16" t="inlineStr">
        <is>
          <t>实际</t>
        </is>
      </c>
      <c r="I245" s="16" t="inlineStr">
        <is>
          <t>122.25 亿元</t>
        </is>
      </c>
      <c r="J245" s="16" t="inlineStr">
        <is>
          <t>假设：柯力传感 总市值</t>
        </is>
      </c>
      <c r="K245" s="16" t="inlineStr">
        <is>
          <t>以单一交易日收盘计，市值随股价波动；总股本与 2026 半年报期末股份总数一致</t>
        </is>
      </c>
      <c r="L245" s="16" t="inlineStr">
        <is>
          <t>https://ffd.findesk.cn/api/query（fd_total_shares_stock / fd_market_value_stock / history.close）</t>
        </is>
      </c>
      <c r="M245" s="16" t="inlineStr">
        <is>
          <t>高</t>
        </is>
      </c>
    </row>
    <row r="246">
      <c r="A246" s="16" t="inlineStr">
        <is>
          <t>F-02</t>
        </is>
      </c>
      <c r="B246" s="16" t="inlineStr">
        <is>
          <t>估值</t>
        </is>
      </c>
      <c r="C246" s="16" t="inlineStr">
        <is>
          <t>柯力传感</t>
        </is>
      </c>
      <c r="D246" s="16" t="inlineStr">
        <is>
          <t>2025 扣非归母净利润</t>
        </is>
      </c>
      <c r="E246" s="16" t="inlineStr">
        <is>
          <t>2025 年报合并口径扣非归母净利润 213,920,909.70 元；归母净利润 340,551,270.86 元</t>
        </is>
      </c>
      <c r="F246" s="16" t="inlineStr">
        <is>
          <t>Findesk API（底层为同花顺 iFinD 数据），2026-10-20 查询</t>
        </is>
      </c>
      <c r="G246" s="16" t="inlineStr">
        <is>
          <t>2025-12-31 报告期</t>
        </is>
      </c>
      <c r="H246" s="16" t="inlineStr">
        <is>
          <t>实际</t>
        </is>
      </c>
      <c r="I246" s="16" t="inlineStr">
        <is>
          <t>2.1392 亿元</t>
        </is>
      </c>
      <c r="J246" s="16" t="inlineStr">
        <is>
          <t>假设：柯力传感 原有业务净利润（2025 扣非）</t>
        </is>
      </c>
      <c r="K246" s="16" t="inlineStr">
        <is>
          <t>与年报转述值（C-24）一致</t>
        </is>
      </c>
      <c r="L246" s="16" t="inlineStr">
        <is>
          <t>https://ffd.findesk.cn/api/query（fd_np_dnrgal_stock / fd_np_atoopc_stock）</t>
        </is>
      </c>
      <c r="M246" s="16" t="inlineStr">
        <is>
          <t>高</t>
        </is>
      </c>
    </row>
    <row r="247">
      <c r="A247" s="16" t="inlineStr">
        <is>
          <t>F-03</t>
        </is>
      </c>
      <c r="B247" s="16" t="inlineStr">
        <is>
          <t>估值</t>
        </is>
      </c>
      <c r="C247" s="16" t="inlineStr">
        <is>
          <t>安培龙</t>
        </is>
      </c>
      <c r="D247" s="16" t="inlineStr">
        <is>
          <t>总市值（统一行情日）</t>
        </is>
      </c>
      <c r="E247" s="16" t="inlineStr">
        <is>
          <t>301413.SZ 2026-10-19 不复权收盘价 46.88 元 × 总股本 137,392,052 股 = 总市值 6,440,939,397.76 元；接口返回总市值与自算一致</t>
        </is>
      </c>
      <c r="F247" s="16" t="inlineStr">
        <is>
          <t>Findesk API（底层为同花顺 iFinD 数据），2026-10-20 查询</t>
        </is>
      </c>
      <c r="G247" s="16" t="inlineStr">
        <is>
          <t>2026-10-19 收盘</t>
        </is>
      </c>
      <c r="H247" s="16" t="inlineStr">
        <is>
          <t>实际</t>
        </is>
      </c>
      <c r="I247" s="16" t="inlineStr">
        <is>
          <t>64.41 亿元</t>
        </is>
      </c>
      <c r="J247" s="16" t="inlineStr">
        <is>
          <t>假设：安培龙 总市值</t>
        </is>
      </c>
      <c r="K247" s="16" t="inlineStr">
        <is>
          <t>以单一交易日收盘计，市值随股价波动；总股本未与公告逐一核对；安培龙定增新股若登记上市需更新</t>
        </is>
      </c>
      <c r="L247" s="16" t="inlineStr">
        <is>
          <t>https://ffd.findesk.cn/api/query（fd_total_shares_stock / fd_market_value_stock / history.close）</t>
        </is>
      </c>
      <c r="M247" s="16" t="inlineStr">
        <is>
          <t>高</t>
        </is>
      </c>
    </row>
    <row r="248">
      <c r="A248" s="16" t="inlineStr">
        <is>
          <t>F-04</t>
        </is>
      </c>
      <c r="B248" s="16" t="inlineStr">
        <is>
          <t>估值</t>
        </is>
      </c>
      <c r="C248" s="16" t="inlineStr">
        <is>
          <t>安培龙</t>
        </is>
      </c>
      <c r="D248" s="16" t="inlineStr">
        <is>
          <t>2025 扣非归母净利润</t>
        </is>
      </c>
      <c r="E248" s="16" t="inlineStr">
        <is>
          <t>2025 年报合并口径扣非归母净利润 80,915,806.90 元；归母净利润 90,745,171.32 元</t>
        </is>
      </c>
      <c r="F248" s="16" t="inlineStr">
        <is>
          <t>Findesk API（底层为同花顺 iFinD 数据），2026-10-20 查询</t>
        </is>
      </c>
      <c r="G248" s="16" t="inlineStr">
        <is>
          <t>2025-12-31 报告期</t>
        </is>
      </c>
      <c r="H248" s="16" t="inlineStr">
        <is>
          <t>实际</t>
        </is>
      </c>
      <c r="I248" s="16" t="inlineStr">
        <is>
          <t>0.8092 亿元</t>
        </is>
      </c>
      <c r="J248" s="16" t="inlineStr">
        <is>
          <t>假设：安培龙 原有业务净利润（2025 扣非）</t>
        </is>
      </c>
      <c r="K248" s="16" t="inlineStr">
        <is>
          <t>与年报转述值（C-42）一致</t>
        </is>
      </c>
      <c r="L248" s="16" t="inlineStr">
        <is>
          <t>https://ffd.findesk.cn/api/query（fd_np_dnrgal_stock / fd_np_atoopc_stock）</t>
        </is>
      </c>
      <c r="M248" s="16" t="inlineStr">
        <is>
          <t>高</t>
        </is>
      </c>
    </row>
    <row r="249">
      <c r="A249" s="16" t="inlineStr">
        <is>
          <t>F-05</t>
        </is>
      </c>
      <c r="B249" s="16" t="inlineStr">
        <is>
          <t>估值</t>
        </is>
      </c>
      <c r="C249" s="16" t="inlineStr">
        <is>
          <t>东华测试</t>
        </is>
      </c>
      <c r="D249" s="16" t="inlineStr">
        <is>
          <t>总市值（统一行情日）</t>
        </is>
      </c>
      <c r="E249" s="16" t="inlineStr">
        <is>
          <t>300354.SZ 2026-10-19 不复权收盘价 25.44 元 × 总股本 138,320,201 股 = 总市值 3,518,865,913.44 元；接口返回总市值与自算一致</t>
        </is>
      </c>
      <c r="F249" s="16" t="inlineStr">
        <is>
          <t>Findesk API（底层为同花顺 iFinD 数据），2026-10-20 查询</t>
        </is>
      </c>
      <c r="G249" s="16" t="inlineStr">
        <is>
          <t>2026-10-19 收盘</t>
        </is>
      </c>
      <c r="H249" s="16" t="inlineStr">
        <is>
          <t>实际</t>
        </is>
      </c>
      <c r="I249" s="16" t="inlineStr">
        <is>
          <t>35.19 亿元</t>
        </is>
      </c>
      <c r="J249" s="16" t="inlineStr">
        <is>
          <t>假设：东华测试 总市值</t>
        </is>
      </c>
      <c r="K249" s="16" t="inlineStr">
        <is>
          <t>以单一交易日收盘计，市值随股价波动；总股本未与公告逐一核对</t>
        </is>
      </c>
      <c r="L249" s="16" t="inlineStr">
        <is>
          <t>https://ffd.findesk.cn/api/query（fd_total_shares_stock / fd_market_value_stock / history.close）</t>
        </is>
      </c>
      <c r="M249" s="16" t="inlineStr">
        <is>
          <t>高</t>
        </is>
      </c>
    </row>
    <row r="250">
      <c r="A250" s="16" t="inlineStr">
        <is>
          <t>F-06</t>
        </is>
      </c>
      <c r="B250" s="16" t="inlineStr">
        <is>
          <t>估值</t>
        </is>
      </c>
      <c r="C250" s="16" t="inlineStr">
        <is>
          <t>东华测试</t>
        </is>
      </c>
      <c r="D250" s="16" t="inlineStr">
        <is>
          <t>2025 扣非归母净利润</t>
        </is>
      </c>
      <c r="E250" s="16" t="inlineStr">
        <is>
          <t>2025 年报合并口径扣非归母净利润 130,090,419.86 元；归母净利润 136,922,367.25 元</t>
        </is>
      </c>
      <c r="F250" s="16" t="inlineStr">
        <is>
          <t>Findesk API（底层为同花顺 iFinD 数据），2026-10-20 查询</t>
        </is>
      </c>
      <c r="G250" s="16" t="inlineStr">
        <is>
          <t>2025-12-31 报告期</t>
        </is>
      </c>
      <c r="H250" s="16" t="inlineStr">
        <is>
          <t>实际</t>
        </is>
      </c>
      <c r="I250" s="16" t="inlineStr">
        <is>
          <t>1.3009 亿元</t>
        </is>
      </c>
      <c r="J250" s="16" t="inlineStr">
        <is>
          <t>假设：东华测试 原有业务净利润（2025 扣非）</t>
        </is>
      </c>
      <c r="K250" s="16" t="inlineStr">
        <is>
          <t>与年报转述值（C-52）一致</t>
        </is>
      </c>
      <c r="L250" s="16" t="inlineStr">
        <is>
          <t>https://ffd.findesk.cn/api/query（fd_np_dnrgal_stock / fd_np_atoopc_stock）</t>
        </is>
      </c>
      <c r="M250" s="16" t="inlineStr">
        <is>
          <t>高</t>
        </is>
      </c>
    </row>
    <row r="251">
      <c r="A251" s="16" t="inlineStr">
        <is>
          <t>B-01</t>
        </is>
      </c>
      <c r="B251" s="16" t="inlineStr">
        <is>
          <t>BOM</t>
        </is>
      </c>
      <c r="C251" s="16" t="inlineStr">
        <is>
          <t>特斯拉 Optimus V3（参照）</t>
        </is>
      </c>
      <c r="D251" s="16" t="inlineStr">
        <is>
          <t>模块级 BOM 拆分</t>
        </is>
      </c>
      <c r="E251" s="16" t="inlineStr">
        <is>
          <t>旋转执行器 16.1%、直线执行器 23.0%、灵巧手 19.7%（合计 58.8%）；传感器 13.2%；其他 28.0%</t>
        </is>
      </c>
      <c r="F251" s="16" t="inlineStr">
        <is>
          <t>Counterpoint Robotics Research（中银证券《人形机器人行业深度报告》图表 23 转引）</t>
        </is>
      </c>
      <c r="G251" s="16" t="inlineStr">
        <is>
          <t>2026-08</t>
        </is>
      </c>
      <c r="H251" s="16" t="inlineStr">
        <is>
          <t>测算（机构）</t>
        </is>
      </c>
      <c r="I251" s="16" t="inlineStr">
        <is>
          <t>见左</t>
        </is>
      </c>
      <c r="J251" s="16" t="inlineStr">
        <is>
          <t>正文 2.1：模块占比参照</t>
        </is>
      </c>
      <c r="K251" s="16" t="inlineStr">
        <is>
          <t>海外机型；传感器 13.2% 未拆分六维力；不能直接套用到国产机型</t>
        </is>
      </c>
      <c r="L251" s="16" t="inlineStr">
        <is>
          <t>本地 PDF：05_券商深度研报/中银证券_人形机器人行业深度报告_2026-08.pdf p17</t>
        </is>
      </c>
      <c r="M251" s="16" t="inlineStr">
        <is>
          <t>中</t>
        </is>
      </c>
    </row>
    <row r="252">
      <c r="A252" s="16" t="inlineStr">
        <is>
          <t>B-02</t>
        </is>
      </c>
      <c r="B252" s="16" t="inlineStr">
        <is>
          <t>BOM</t>
        </is>
      </c>
      <c r="C252" s="16" t="inlineStr">
        <is>
          <t>中国造人形机器人（行业）</t>
        </is>
      </c>
      <c r="D252" s="16" t="inlineStr">
        <is>
          <t>整机 BOM 绝对值</t>
        </is>
      </c>
      <c r="E252" s="16" t="inlineStr">
        <is>
          <t>BofA 估计中国造人形机器人 BOM 2025 年约 3.5 万美元，2030 年降到 1.7 万美元以下；2030 年直线执行器 27%、旋转执行器 24%、灵巧手 19%</t>
        </is>
      </c>
      <c r="F252" s="16" t="inlineStr">
        <is>
          <t>美银研究院《Physical AI Part 2》</t>
        </is>
      </c>
      <c r="G252" s="16" t="inlineStr">
        <is>
          <t>2026-03-12</t>
        </is>
      </c>
      <c r="H252" s="16" t="inlineStr">
        <is>
          <t>测算（机构）</t>
        </is>
      </c>
      <c r="I252" s="16" t="inlineStr">
        <is>
          <t>3.5 万美元（2025）→ &lt;1.7 万美元（2030）</t>
        </is>
      </c>
      <c r="J252" s="16" t="inlineStr">
        <is>
          <t>正文 2.1：整机 BOM 量级参照</t>
        </is>
      </c>
      <c r="K252" s="16" t="inlineStr">
        <is>
          <t>未说明机型和尺寸；传感器占比未读出</t>
        </is>
      </c>
      <c r="L252" s="16" t="inlineStr">
        <is>
          <t>本地 PDF：美银研究院_PhysicalAI_Part2_2026-03.pdf p3–5</t>
        </is>
      </c>
      <c r="M252" s="16" t="inlineStr">
        <is>
          <t>高</t>
        </is>
      </c>
    </row>
    <row r="253">
      <c r="A253" s="16" t="inlineStr">
        <is>
          <t>B-03</t>
        </is>
      </c>
      <c r="B253" s="16" t="inlineStr">
        <is>
          <t>BOM</t>
        </is>
      </c>
      <c r="C253" s="16" t="inlineStr">
        <is>
          <t>灵巧手（行业）</t>
        </is>
      </c>
      <c r="D253" s="16" t="inlineStr">
        <is>
          <t>灵巧手隐含均价</t>
        </is>
      </c>
      <c r="E253" s="16" t="inlineStr">
        <is>
          <t>中国灵巧手市场 2025 年 3.57 亿元（前瞻 / 赛迪）÷ 销量 1.92 万只（GGII）≈ 1.86 万元/只</t>
        </is>
      </c>
      <c r="F253" s="16" t="inlineStr">
        <is>
          <t>前瞻网（引赛迪）；GGII（腾讯新闻转引）</t>
        </is>
      </c>
      <c r="G253" s="16" t="inlineStr">
        <is>
          <t>2025</t>
        </is>
      </c>
      <c r="H253" s="16" t="inlineStr">
        <is>
          <t>测算（本稿推算）</t>
        </is>
      </c>
      <c r="I253" s="16" t="inlineStr">
        <is>
          <t>约 1.86 万元/只</t>
        </is>
      </c>
      <c r="J253" s="16" t="inlineStr">
        <is>
          <t>正文 2.1：灵巧手模块价值参照</t>
        </is>
      </c>
      <c r="K253" s="16" t="inlineStr">
        <is>
          <t>分子分母来自不同机构，口径未必一致；含科研和工业多指手</t>
        </is>
      </c>
      <c r="L253" s="16" t="inlineStr">
        <is>
          <t>https://www.qianzhan.com/analyst/detail/220/260429-ecbc14e6.html ；https://news.qq.com/rain/a/20260916A092IN00</t>
        </is>
      </c>
      <c r="M253" s="16" t="inlineStr">
        <is>
          <t>中-</t>
        </is>
      </c>
    </row>
    <row r="254">
      <c r="A254" s="16" t="inlineStr">
        <is>
          <t>D-83</t>
        </is>
      </c>
      <c r="B254" s="16" t="inlineStr">
        <is>
          <t>需求与价格</t>
        </is>
      </c>
      <c r="C254" s="16" t="inlineStr"/>
      <c r="D254" s="16" t="inlineStr">
        <is>
          <t>2030 年全球出货（IDC）</t>
        </is>
      </c>
      <c r="E254" s="16" t="inlineStr">
        <is>
          <t>2030 年全球人形机器人出货超过 75 万台，较此前预测上调约 50%</t>
        </is>
      </c>
      <c r="F254" s="16" t="inlineStr">
        <is>
          <t>IDC（新浪科技转引）</t>
        </is>
      </c>
      <c r="G254" s="16" t="inlineStr">
        <is>
          <t>2026-09-29</t>
        </is>
      </c>
      <c r="H254" s="16" t="inlineStr">
        <is>
          <t>预测</t>
        </is>
      </c>
      <c r="I254" s="16" t="inlineStr">
        <is>
          <t>75 万台+（全球）</t>
        </is>
      </c>
      <c r="J254" s="16" t="inlineStr">
        <is>
          <t>假设：2030E 中国人形整机出货</t>
        </is>
      </c>
      <c r="K254" s="16" t="inlineStr">
        <is>
          <t>全球口径；乐观情景按 2026H1 中国占比 77.9%（D-78）折算为约 58.4 万台，隐含中国占比到 2030 年不变</t>
        </is>
      </c>
      <c r="L254" s="16" t="inlineStr">
        <is>
          <t>https://finance.sina.com.cn/tech/roll/2026-09-29/doc-initnsef2868975.shtml</t>
        </is>
      </c>
      <c r="M254" s="16" t="inlineStr">
        <is>
          <t>中高</t>
        </is>
      </c>
    </row>
    <row r="255">
      <c r="A255" s="16" t="inlineStr">
        <is>
          <t>F-07</t>
        </is>
      </c>
      <c r="B255" s="16" t="inlineStr">
        <is>
          <t>估值</t>
        </is>
      </c>
      <c r="C255" s="16" t="inlineStr">
        <is>
          <t>柯力传感</t>
        </is>
      </c>
      <c r="D255" s="16" t="inlineStr">
        <is>
          <t>2026-06-30 合并资产负债表</t>
        </is>
      </c>
      <c r="E255" s="16" t="inlineStr">
        <is>
          <t>货币资金 226,251,636.01；交易性金融资产 736,549,678.28（主要为理财）；长期股权投资 212,698,557.55；其他非流动金融资产 277,214,763.80；短期借款 679,437,850.54；一年内到期的非流动负债 6,048,259.28；长期借款 330,922.29；租赁负债 5,306,686.58</t>
        </is>
      </c>
      <c r="F255" s="16" t="inlineStr">
        <is>
          <t>柯力传感 2026 年半年度报告（合并资产负债表）</t>
        </is>
      </c>
      <c r="G255" s="16" t="inlineStr">
        <is>
          <t>2026-06-30</t>
        </is>
      </c>
      <c r="H255" s="16" t="inlineStr">
        <is>
          <t>实际</t>
        </is>
      </c>
      <c r="I255" s="16" t="inlineStr">
        <is>
          <t>投资资产 12.2646 亿；净负债 4.6488 亿（不含已计入投资资产的理财）</t>
        </is>
      </c>
      <c r="J255" s="16" t="inlineStr">
        <is>
          <t>假设：柯力传感 非经营性投资资产；假设：柯力传感 净现金</t>
        </is>
      </c>
      <c r="K255" s="16" t="inlineStr">
        <is>
          <t>账面值，未做公允价值重估；少数股东权益 3.59 亿未单独处理（估值用归母扣非利润）</t>
        </is>
      </c>
      <c r="L255" s="16" t="inlineStr">
        <is>
          <t>本地 PDF：03_公司公告与财报/柯力传感_2026半年报.pdf p31–32</t>
        </is>
      </c>
      <c r="M255" s="16" t="inlineStr">
        <is>
          <t>高</t>
        </is>
      </c>
    </row>
    <row r="256">
      <c r="A256" s="16" t="inlineStr">
        <is>
          <t>F-08</t>
        </is>
      </c>
      <c r="B256" s="16" t="inlineStr">
        <is>
          <t>估值</t>
        </is>
      </c>
      <c r="C256" s="16" t="inlineStr">
        <is>
          <t>安培龙</t>
        </is>
      </c>
      <c r="D256" s="16" t="inlineStr">
        <is>
          <t>2026-06-30 合并资产负债表</t>
        </is>
      </c>
      <c r="E256" s="16" t="inlineStr">
        <is>
          <t>货币资金 154,305,157.27；其他权益工具投资 17,000,000.00；短期借款 486,206,144.74；一年内到期的非流动负债 81,055,461.22；长期借款 36,000,000.00；租赁负债 8,893,950.02；交易性金融资产、长期股权投资、其他非流动金融资产均为空</t>
        </is>
      </c>
      <c r="F256" s="16" t="inlineStr">
        <is>
          <t>安培龙 2026 年半年度报告（合并资产负债表 p67–69）</t>
        </is>
      </c>
      <c r="G256" s="16" t="inlineStr">
        <is>
          <t>2026-06-30</t>
        </is>
      </c>
      <c r="H256" s="16" t="inlineStr">
        <is>
          <t>实际</t>
        </is>
      </c>
      <c r="I256" s="16" t="inlineStr">
        <is>
          <t>投资资产 0.17 亿；净负债 4.5785 亿</t>
        </is>
      </c>
      <c r="J256" s="16" t="inlineStr">
        <is>
          <t>假设：安培龙 非经营性投资资产；假设：安培龙 净现金</t>
        </is>
      </c>
      <c r="K256" s="16" t="inlineStr">
        <is>
          <t>长期借款在提取文本中只有一个数，无法区分期末或期初，按期末计入（金额小）；定增若已发行，新增现金未反映</t>
        </is>
      </c>
      <c r="L256" s="16" t="inlineStr">
        <is>
          <t>http://file.finance.sina.com.cn/211.154.219.97:9494/MRGG/CNSESZ_STOCK/2026/2026-8/2026-08-28/12555790.PDF p67–69</t>
        </is>
      </c>
      <c r="M256" s="16" t="inlineStr">
        <is>
          <t>高</t>
        </is>
      </c>
    </row>
    <row r="257">
      <c r="A257" s="16" t="inlineStr">
        <is>
          <t>F-09</t>
        </is>
      </c>
      <c r="B257" s="16" t="inlineStr">
        <is>
          <t>估值</t>
        </is>
      </c>
      <c r="C257" s="16" t="inlineStr">
        <is>
          <t>东华测试</t>
        </is>
      </c>
      <c r="D257" s="16" t="inlineStr">
        <is>
          <t>2026-06-30 合并资产负债表</t>
        </is>
      </c>
      <c r="E257" s="16" t="inlineStr">
        <is>
          <t>货币资金 137,469,970.88；交易性金融资产 25,000,000.00；一年内到期的非流动负债 172,521.70；租赁负债 87,164.58；短期借款、长期借款、长期股权投资均为空</t>
        </is>
      </c>
      <c r="F257" s="16" t="inlineStr">
        <is>
          <t>东华测试 2026 年半年度报告（合并资产负债表 p43–45）</t>
        </is>
      </c>
      <c r="G257" s="16" t="inlineStr">
        <is>
          <t>2026-06-30</t>
        </is>
      </c>
      <c r="H257" s="16" t="inlineStr">
        <is>
          <t>实际</t>
        </is>
      </c>
      <c r="I257" s="16" t="inlineStr">
        <is>
          <t>投资资产 0.25 亿；净现金 1.3721 亿</t>
        </is>
      </c>
      <c r="J257" s="16" t="inlineStr">
        <is>
          <t>假设：东华测试 非经营性投资资产；假设：东华测试 净现金</t>
        </is>
      </c>
      <c r="K257" s="16" t="inlineStr">
        <is>
          <t>租赁负债提取文本只有一个数，按期末计入（金额很小）</t>
        </is>
      </c>
      <c r="L257" s="16" t="inlineStr">
        <is>
          <t>http://file.finance.sina.com.cn/211.154.219.97:9494/MRGG/CNSESZ_STOCK/2026/2026-8/2026-08-24/12520932.PDF p43–45</t>
        </is>
      </c>
      <c r="M257" s="16" t="inlineStr">
        <is>
          <t>高</t>
        </is>
      </c>
    </row>
  </sheetData>
  <autoFilter ref="A1:M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2026-10-20T01:43:18Z</dcterms:created>
  <dcterms:modified xsi:type="dcterms:W3CDTF">2026-10-20T04:33:49Z</dcterms:modified>
</cp:coreProperties>
</file>